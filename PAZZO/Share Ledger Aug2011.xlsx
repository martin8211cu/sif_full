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705" yWindow="6030" windowWidth="16680" windowHeight="5100" activeTab="4"/>
  </bookViews>
  <sheets>
    <sheet name="Physical - BBLS" sheetId="1" r:id="rId1"/>
    <sheet name="S-3" sheetId="2" r:id="rId2"/>
    <sheet name="P-3" sheetId="3" r:id="rId3"/>
    <sheet name="Validation" sheetId="4" r:id="rId4"/>
    <sheet name="Carga" sheetId="6" r:id="rId5"/>
    <sheet name="Reporte" sheetId="5" r:id="rId6"/>
  </sheets>
  <externalReferences>
    <externalReference r:id="rId7"/>
  </externalReferences>
  <definedNames>
    <definedName name="\S">#REF!</definedName>
    <definedName name="_DAT1" localSheetId="3">#REF!</definedName>
    <definedName name="_DAT1">#REF!</definedName>
    <definedName name="_DAT10" localSheetId="3">#REF!</definedName>
    <definedName name="_DAT10">#REF!</definedName>
    <definedName name="_DAT11" localSheetId="3">#REF!</definedName>
    <definedName name="_DAT11">#REF!</definedName>
    <definedName name="_DAT12" localSheetId="3">#REF!</definedName>
    <definedName name="_DAT12">#REF!</definedName>
    <definedName name="_DAT13" localSheetId="3">#REF!</definedName>
    <definedName name="_DAT13">#REF!</definedName>
    <definedName name="_DAT2" localSheetId="3">#REF!</definedName>
    <definedName name="_DAT2">#REF!</definedName>
    <definedName name="_DAT3" localSheetId="3">#REF!</definedName>
    <definedName name="_DAT3">#REF!</definedName>
    <definedName name="_DAT4" localSheetId="3">#REF!</definedName>
    <definedName name="_DAT4">#REF!</definedName>
    <definedName name="_DAT5" localSheetId="3">#REF!</definedName>
    <definedName name="_DAT5">#REF!</definedName>
    <definedName name="_DAT6" localSheetId="3">#REF!</definedName>
    <definedName name="_DAT6">#REF!</definedName>
    <definedName name="_DAT7" localSheetId="3">#REF!</definedName>
    <definedName name="_DAT7">#REF!</definedName>
    <definedName name="_DAT8" localSheetId="3">#REF!</definedName>
    <definedName name="_DAT8">#REF!</definedName>
    <definedName name="_DAT9" localSheetId="3">#REF!</definedName>
    <definedName name="_DAT9">#REF!</definedName>
    <definedName name="BALDATA">#REF!</definedName>
    <definedName name="Date">[1]Results!$A$3</definedName>
    <definedName name="Days">[1]Results!$D$3</definedName>
    <definedName name="DRSDATA">#REF!</definedName>
    <definedName name="FERNDATA">#REF!</definedName>
    <definedName name="FRCDATA">#REF!</definedName>
    <definedName name="Import">#REF!</definedName>
    <definedName name="INPUT">#REF!</definedName>
    <definedName name="LPUDB">#REF!</definedName>
    <definedName name="MSCF_ADJ">#REF!</definedName>
    <definedName name="PIPEFLOW_IMPORT">#REF!</definedName>
    <definedName name="PRELWIRE">#REF!</definedName>
    <definedName name="_xlnm.Print_Area" localSheetId="0">'Physical - BBLS'!$A$1:$H$89</definedName>
    <definedName name="_xlnm.Print_Area" localSheetId="3">Validation!$A:$J</definedName>
    <definedName name="_xlnm.Print_Titles" localSheetId="0">'Physical - BBLS'!$1:$1</definedName>
    <definedName name="_xlnm.Print_Titles" localSheetId="3">Validation!$1:$1</definedName>
    <definedName name="SACSCOPS">#REF!</definedName>
    <definedName name="TEST0" localSheetId="3">#REF!</definedName>
    <definedName name="TEST0">#REF!</definedName>
    <definedName name="TESTHKEY" localSheetId="3">#REF!</definedName>
    <definedName name="TESTHKEY">#REF!</definedName>
    <definedName name="TESTKEYS" localSheetId="3">#REF!</definedName>
    <definedName name="TESTKEYS">#REF!</definedName>
    <definedName name="TESTVKEY" localSheetId="3">#REF!</definedName>
    <definedName name="TESTVKEY">#REF!</definedName>
    <definedName name="TIEOUT">#REF!</definedName>
    <definedName name="WIRE">#REF!</definedName>
  </definedNames>
  <calcPr calcId="125725"/>
</workbook>
</file>

<file path=xl/calcChain.xml><?xml version="1.0" encoding="utf-8"?>
<calcChain xmlns="http://schemas.openxmlformats.org/spreadsheetml/2006/main">
  <c r="C95" i="6"/>
  <c r="D189" i="5" s="1"/>
  <c r="D190" s="1"/>
  <c r="D95" i="6"/>
  <c r="E189" i="5" s="1"/>
  <c r="E190" s="1"/>
  <c r="E95" i="6"/>
  <c r="F189" i="5" s="1"/>
  <c r="F190" s="1"/>
  <c r="F95" i="6"/>
  <c r="G189" i="5" s="1"/>
  <c r="G190" s="1"/>
  <c r="G95" i="6"/>
  <c r="H189" i="5" s="1"/>
  <c r="H190" s="1"/>
  <c r="H95" i="6"/>
  <c r="I189" i="5" s="1"/>
  <c r="I190" s="1"/>
  <c r="B95" i="6"/>
  <c r="C189" i="5" s="1"/>
  <c r="C190" s="1"/>
  <c r="L91" i="1"/>
  <c r="M91"/>
  <c r="N91"/>
  <c r="O91"/>
  <c r="P91"/>
  <c r="Q91"/>
  <c r="R91"/>
  <c r="T91"/>
  <c r="U91"/>
  <c r="L92"/>
  <c r="M92"/>
  <c r="N92"/>
  <c r="O92"/>
  <c r="P92"/>
  <c r="Q92"/>
  <c r="R92"/>
  <c r="T92"/>
  <c r="U92"/>
  <c r="L93"/>
  <c r="M93"/>
  <c r="N93"/>
  <c r="O93"/>
  <c r="P93"/>
  <c r="Q93"/>
  <c r="R93"/>
  <c r="T93"/>
  <c r="U93"/>
  <c r="L94"/>
  <c r="M94"/>
  <c r="N94"/>
  <c r="O94"/>
  <c r="P94"/>
  <c r="Q94"/>
  <c r="R94"/>
  <c r="T94"/>
  <c r="U94"/>
  <c r="J94"/>
  <c r="K94"/>
  <c r="R90"/>
  <c r="Q90"/>
  <c r="P90"/>
  <c r="O90"/>
  <c r="N90"/>
  <c r="M90"/>
  <c r="L90"/>
  <c r="R89"/>
  <c r="Q89"/>
  <c r="P89"/>
  <c r="O89"/>
  <c r="N89"/>
  <c r="M89"/>
  <c r="L89"/>
  <c r="R88"/>
  <c r="Q88"/>
  <c r="P88"/>
  <c r="O88"/>
  <c r="N88"/>
  <c r="M88"/>
  <c r="L88"/>
  <c r="R87"/>
  <c r="Q87"/>
  <c r="P87"/>
  <c r="O87"/>
  <c r="N87"/>
  <c r="M87"/>
  <c r="L87"/>
  <c r="R86"/>
  <c r="Q86"/>
  <c r="P86"/>
  <c r="O86"/>
  <c r="N86"/>
  <c r="M86"/>
  <c r="L86"/>
  <c r="R85"/>
  <c r="Q85"/>
  <c r="P85"/>
  <c r="O85"/>
  <c r="N85"/>
  <c r="M85"/>
  <c r="L85"/>
  <c r="R84"/>
  <c r="Q84"/>
  <c r="P84"/>
  <c r="O84"/>
  <c r="N84"/>
  <c r="M84"/>
  <c r="L84"/>
  <c r="R83"/>
  <c r="Q83"/>
  <c r="P83"/>
  <c r="O83"/>
  <c r="N83"/>
  <c r="M83"/>
  <c r="L83"/>
  <c r="R82"/>
  <c r="Q82"/>
  <c r="P82"/>
  <c r="O82"/>
  <c r="N82"/>
  <c r="M82"/>
  <c r="L82"/>
  <c r="R81"/>
  <c r="Q81"/>
  <c r="P81"/>
  <c r="O81"/>
  <c r="N81"/>
  <c r="M81"/>
  <c r="L81"/>
  <c r="R80"/>
  <c r="Q80"/>
  <c r="P80"/>
  <c r="O80"/>
  <c r="N80"/>
  <c r="M80"/>
  <c r="L80"/>
  <c r="R79"/>
  <c r="Q79"/>
  <c r="P79"/>
  <c r="O79"/>
  <c r="N79"/>
  <c r="M79"/>
  <c r="L79"/>
  <c r="R78"/>
  <c r="Q78"/>
  <c r="P78"/>
  <c r="O78"/>
  <c r="N78"/>
  <c r="M78"/>
  <c r="L78"/>
  <c r="R77"/>
  <c r="Q77"/>
  <c r="P77"/>
  <c r="O77"/>
  <c r="N77"/>
  <c r="M77"/>
  <c r="L77"/>
  <c r="R76"/>
  <c r="Q76"/>
  <c r="P76"/>
  <c r="O76"/>
  <c r="N76"/>
  <c r="M76"/>
  <c r="L76"/>
  <c r="R75"/>
  <c r="Q75"/>
  <c r="P75"/>
  <c r="O75"/>
  <c r="N75"/>
  <c r="M75"/>
  <c r="L75"/>
  <c r="R74"/>
  <c r="Q74"/>
  <c r="P74"/>
  <c r="O74"/>
  <c r="N74"/>
  <c r="M74"/>
  <c r="L74"/>
  <c r="R73"/>
  <c r="Q73"/>
  <c r="P73"/>
  <c r="O73"/>
  <c r="N73"/>
  <c r="M73"/>
  <c r="L73"/>
  <c r="R72"/>
  <c r="Q72"/>
  <c r="P72"/>
  <c r="O72"/>
  <c r="N72"/>
  <c r="M72"/>
  <c r="L72"/>
  <c r="R71"/>
  <c r="Q71"/>
  <c r="P71"/>
  <c r="O71"/>
  <c r="N71"/>
  <c r="M71"/>
  <c r="L71"/>
  <c r="R70"/>
  <c r="Q70"/>
  <c r="P70"/>
  <c r="O70"/>
  <c r="N70"/>
  <c r="M70"/>
  <c r="L70"/>
  <c r="R69"/>
  <c r="Q69"/>
  <c r="P69"/>
  <c r="O69"/>
  <c r="N69"/>
  <c r="M69"/>
  <c r="L69"/>
  <c r="R68"/>
  <c r="Q68"/>
  <c r="P68"/>
  <c r="O68"/>
  <c r="N68"/>
  <c r="M68"/>
  <c r="L68"/>
  <c r="R67"/>
  <c r="Q67"/>
  <c r="P67"/>
  <c r="O67"/>
  <c r="N67"/>
  <c r="M67"/>
  <c r="L67"/>
  <c r="R66"/>
  <c r="Q66"/>
  <c r="P66"/>
  <c r="O66"/>
  <c r="N66"/>
  <c r="M66"/>
  <c r="L66"/>
  <c r="R65"/>
  <c r="Q65"/>
  <c r="P65"/>
  <c r="O65"/>
  <c r="N65"/>
  <c r="M65"/>
  <c r="L65"/>
  <c r="R64"/>
  <c r="Q64"/>
  <c r="P64"/>
  <c r="O64"/>
  <c r="N64"/>
  <c r="M64"/>
  <c r="L64"/>
  <c r="R63"/>
  <c r="Q63"/>
  <c r="P63"/>
  <c r="O63"/>
  <c r="N63"/>
  <c r="M63"/>
  <c r="L63"/>
  <c r="R62"/>
  <c r="Q62"/>
  <c r="P62"/>
  <c r="O62"/>
  <c r="N62"/>
  <c r="M62"/>
  <c r="L62"/>
  <c r="R61"/>
  <c r="Q61"/>
  <c r="P61"/>
  <c r="O61"/>
  <c r="N61"/>
  <c r="M61"/>
  <c r="L61"/>
  <c r="R60"/>
  <c r="Q60"/>
  <c r="P60"/>
  <c r="O60"/>
  <c r="N60"/>
  <c r="M60"/>
  <c r="L60"/>
  <c r="R59"/>
  <c r="Q59"/>
  <c r="P59"/>
  <c r="O59"/>
  <c r="N59"/>
  <c r="M59"/>
  <c r="L59"/>
  <c r="R58"/>
  <c r="Q58"/>
  <c r="P58"/>
  <c r="O58"/>
  <c r="N58"/>
  <c r="M58"/>
  <c r="L58"/>
  <c r="R57"/>
  <c r="Q57"/>
  <c r="P57"/>
  <c r="O57"/>
  <c r="N57"/>
  <c r="M57"/>
  <c r="L57"/>
  <c r="R56"/>
  <c r="Q56"/>
  <c r="P56"/>
  <c r="O56"/>
  <c r="N56"/>
  <c r="M56"/>
  <c r="L56"/>
  <c r="R55"/>
  <c r="Q55"/>
  <c r="P55"/>
  <c r="O55"/>
  <c r="N55"/>
  <c r="M55"/>
  <c r="L55"/>
  <c r="R54"/>
  <c r="Q54"/>
  <c r="P54"/>
  <c r="O54"/>
  <c r="N54"/>
  <c r="M54"/>
  <c r="L54"/>
  <c r="R53"/>
  <c r="Q53"/>
  <c r="P53"/>
  <c r="O53"/>
  <c r="N53"/>
  <c r="M53"/>
  <c r="L53"/>
  <c r="R52"/>
  <c r="Q52"/>
  <c r="P52"/>
  <c r="O52"/>
  <c r="N52"/>
  <c r="M52"/>
  <c r="L52"/>
  <c r="R51"/>
  <c r="Q51"/>
  <c r="P51"/>
  <c r="O51"/>
  <c r="N51"/>
  <c r="M51"/>
  <c r="L51"/>
  <c r="R50"/>
  <c r="Q50"/>
  <c r="P50"/>
  <c r="O50"/>
  <c r="N50"/>
  <c r="M50"/>
  <c r="L50"/>
  <c r="R49"/>
  <c r="Q49"/>
  <c r="P49"/>
  <c r="O49"/>
  <c r="N49"/>
  <c r="M49"/>
  <c r="L49"/>
  <c r="R48"/>
  <c r="Q48"/>
  <c r="P48"/>
  <c r="O48"/>
  <c r="N48"/>
  <c r="M48"/>
  <c r="L48"/>
  <c r="R47"/>
  <c r="Q47"/>
  <c r="P47"/>
  <c r="O47"/>
  <c r="N47"/>
  <c r="M47"/>
  <c r="L47"/>
  <c r="R46"/>
  <c r="Q46"/>
  <c r="P46"/>
  <c r="O46"/>
  <c r="N46"/>
  <c r="M46"/>
  <c r="L46"/>
  <c r="R45"/>
  <c r="Q45"/>
  <c r="P45"/>
  <c r="O45"/>
  <c r="N45"/>
  <c r="M45"/>
  <c r="L45"/>
  <c r="R44"/>
  <c r="Q44"/>
  <c r="P44"/>
  <c r="O44"/>
  <c r="N44"/>
  <c r="M44"/>
  <c r="L44"/>
  <c r="R43"/>
  <c r="Q43"/>
  <c r="P43"/>
  <c r="O43"/>
  <c r="N43"/>
  <c r="M43"/>
  <c r="L43"/>
  <c r="R42"/>
  <c r="Q42"/>
  <c r="P42"/>
  <c r="O42"/>
  <c r="N42"/>
  <c r="M42"/>
  <c r="L42"/>
  <c r="R41"/>
  <c r="Q41"/>
  <c r="P41"/>
  <c r="O41"/>
  <c r="N41"/>
  <c r="M41"/>
  <c r="L41"/>
  <c r="R40"/>
  <c r="Q40"/>
  <c r="P40"/>
  <c r="O40"/>
  <c r="N40"/>
  <c r="M40"/>
  <c r="L40"/>
  <c r="R39"/>
  <c r="Q39"/>
  <c r="P39"/>
  <c r="O39"/>
  <c r="N39"/>
  <c r="M39"/>
  <c r="L39"/>
  <c r="R38"/>
  <c r="Q38"/>
  <c r="P38"/>
  <c r="O38"/>
  <c r="N38"/>
  <c r="M38"/>
  <c r="L38"/>
  <c r="R37"/>
  <c r="Q37"/>
  <c r="P37"/>
  <c r="O37"/>
  <c r="N37"/>
  <c r="M37"/>
  <c r="L37"/>
  <c r="R36"/>
  <c r="Q36"/>
  <c r="P36"/>
  <c r="O36"/>
  <c r="N36"/>
  <c r="M36"/>
  <c r="L36"/>
  <c r="R35"/>
  <c r="Q35"/>
  <c r="P35"/>
  <c r="O35"/>
  <c r="N35"/>
  <c r="M35"/>
  <c r="L35"/>
  <c r="R34"/>
  <c r="Q34"/>
  <c r="P34"/>
  <c r="O34"/>
  <c r="N34"/>
  <c r="M34"/>
  <c r="L34"/>
  <c r="R33"/>
  <c r="Q33"/>
  <c r="P33"/>
  <c r="O33"/>
  <c r="N33"/>
  <c r="M33"/>
  <c r="L33"/>
  <c r="R32"/>
  <c r="Q32"/>
  <c r="P32"/>
  <c r="O32"/>
  <c r="N32"/>
  <c r="M32"/>
  <c r="L32"/>
  <c r="R31"/>
  <c r="Q31"/>
  <c r="P31"/>
  <c r="O31"/>
  <c r="N31"/>
  <c r="M31"/>
  <c r="L31"/>
  <c r="R30"/>
  <c r="Q30"/>
  <c r="P30"/>
  <c r="O30"/>
  <c r="N30"/>
  <c r="M30"/>
  <c r="L30"/>
  <c r="R29"/>
  <c r="Q29"/>
  <c r="P29"/>
  <c r="O29"/>
  <c r="N29"/>
  <c r="M29"/>
  <c r="L29"/>
  <c r="R28"/>
  <c r="Q28"/>
  <c r="P28"/>
  <c r="O28"/>
  <c r="N28"/>
  <c r="M28"/>
  <c r="L28"/>
  <c r="R27"/>
  <c r="Q27"/>
  <c r="P27"/>
  <c r="O27"/>
  <c r="N27"/>
  <c r="M27"/>
  <c r="L27"/>
  <c r="R26"/>
  <c r="Q26"/>
  <c r="P26"/>
  <c r="O26"/>
  <c r="N26"/>
  <c r="M26"/>
  <c r="L26"/>
  <c r="R25"/>
  <c r="Q25"/>
  <c r="P25"/>
  <c r="O25"/>
  <c r="N25"/>
  <c r="M25"/>
  <c r="L25"/>
  <c r="R24"/>
  <c r="Q24"/>
  <c r="P24"/>
  <c r="O24"/>
  <c r="N24"/>
  <c r="M24"/>
  <c r="L24"/>
  <c r="R23"/>
  <c r="Q23"/>
  <c r="P23"/>
  <c r="O23"/>
  <c r="N23"/>
  <c r="M23"/>
  <c r="L23"/>
  <c r="R22"/>
  <c r="Q22"/>
  <c r="P22"/>
  <c r="O22"/>
  <c r="N22"/>
  <c r="M22"/>
  <c r="L22"/>
  <c r="R21"/>
  <c r="Q21"/>
  <c r="P21"/>
  <c r="O21"/>
  <c r="N21"/>
  <c r="M21"/>
  <c r="L21"/>
  <c r="R20"/>
  <c r="Q20"/>
  <c r="P20"/>
  <c r="O20"/>
  <c r="N20"/>
  <c r="M20"/>
  <c r="L20"/>
  <c r="R19"/>
  <c r="Q19"/>
  <c r="P19"/>
  <c r="O19"/>
  <c r="N19"/>
  <c r="M19"/>
  <c r="L19"/>
  <c r="R18"/>
  <c r="Q18"/>
  <c r="P18"/>
  <c r="O18"/>
  <c r="N18"/>
  <c r="M18"/>
  <c r="L18"/>
  <c r="R17"/>
  <c r="Q17"/>
  <c r="P17"/>
  <c r="O17"/>
  <c r="N17"/>
  <c r="M17"/>
  <c r="L17"/>
  <c r="R16"/>
  <c r="Q16"/>
  <c r="P16"/>
  <c r="O16"/>
  <c r="N16"/>
  <c r="M16"/>
  <c r="L16"/>
  <c r="R15"/>
  <c r="Q15"/>
  <c r="P15"/>
  <c r="O15"/>
  <c r="N15"/>
  <c r="M15"/>
  <c r="L15"/>
  <c r="R14"/>
  <c r="Q14"/>
  <c r="P14"/>
  <c r="O14"/>
  <c r="N14"/>
  <c r="M14"/>
  <c r="L14"/>
  <c r="R13"/>
  <c r="Q13"/>
  <c r="P13"/>
  <c r="O13"/>
  <c r="N13"/>
  <c r="M13"/>
  <c r="L13"/>
  <c r="R12"/>
  <c r="Q12"/>
  <c r="P12"/>
  <c r="O12"/>
  <c r="N12"/>
  <c r="M12"/>
  <c r="L12"/>
  <c r="R11"/>
  <c r="Q11"/>
  <c r="P11"/>
  <c r="O11"/>
  <c r="N11"/>
  <c r="M11"/>
  <c r="L11"/>
  <c r="R10"/>
  <c r="Q10"/>
  <c r="P10"/>
  <c r="O10"/>
  <c r="N10"/>
  <c r="M10"/>
  <c r="L10"/>
  <c r="R9"/>
  <c r="Q9"/>
  <c r="P9"/>
  <c r="O9"/>
  <c r="N9"/>
  <c r="M9"/>
  <c r="L9"/>
  <c r="R8"/>
  <c r="Q8"/>
  <c r="P8"/>
  <c r="O8"/>
  <c r="N8"/>
  <c r="M8"/>
  <c r="L8"/>
  <c r="R7"/>
  <c r="Q7"/>
  <c r="P7"/>
  <c r="O7"/>
  <c r="N7"/>
  <c r="M7"/>
  <c r="L7"/>
  <c r="R6"/>
  <c r="Q6"/>
  <c r="P6"/>
  <c r="O6"/>
  <c r="N6"/>
  <c r="M6"/>
  <c r="L6"/>
  <c r="R5"/>
  <c r="Q5"/>
  <c r="P5"/>
  <c r="O5"/>
  <c r="N5"/>
  <c r="M5"/>
  <c r="L5"/>
  <c r="R4"/>
  <c r="Q4"/>
  <c r="P4"/>
  <c r="O4"/>
  <c r="N4"/>
  <c r="M4"/>
  <c r="L4"/>
  <c r="R3"/>
  <c r="Q3"/>
  <c r="P3"/>
  <c r="O3"/>
  <c r="N3"/>
  <c r="M3"/>
  <c r="L3"/>
  <c r="R2"/>
  <c r="R112" s="1"/>
  <c r="R113" s="1"/>
  <c r="Q2"/>
  <c r="P2"/>
  <c r="P112" s="1"/>
  <c r="P113" s="1"/>
  <c r="O2"/>
  <c r="N2"/>
  <c r="N112" s="1"/>
  <c r="N113" s="1"/>
  <c r="M2"/>
  <c r="L2"/>
  <c r="L112" s="1"/>
  <c r="L113" s="1"/>
  <c r="D188" i="5"/>
  <c r="E188"/>
  <c r="F188"/>
  <c r="G188"/>
  <c r="H188"/>
  <c r="I188"/>
  <c r="C188"/>
  <c r="C101" i="1"/>
  <c r="C102" s="1"/>
  <c r="D101"/>
  <c r="E101"/>
  <c r="E102" s="1"/>
  <c r="F101"/>
  <c r="G101"/>
  <c r="H101"/>
  <c r="B101"/>
  <c r="B53" i="2"/>
  <c r="M112" i="1" l="1"/>
  <c r="M113" s="1"/>
  <c r="O112"/>
  <c r="O113" s="1"/>
  <c r="Q112"/>
  <c r="Q113" s="1"/>
  <c r="C110" i="4"/>
  <c r="G110"/>
  <c r="B47" i="3"/>
  <c r="H110" i="4" s="1"/>
  <c r="C47" i="3"/>
  <c r="K1" i="1"/>
  <c r="U1" s="1"/>
  <c r="J2"/>
  <c r="K2"/>
  <c r="J3"/>
  <c r="K3"/>
  <c r="J4"/>
  <c r="K4"/>
  <c r="J5"/>
  <c r="K5"/>
  <c r="J6"/>
  <c r="K6"/>
  <c r="J7"/>
  <c r="K7"/>
  <c r="J8"/>
  <c r="K8"/>
  <c r="J9"/>
  <c r="K9"/>
  <c r="J10"/>
  <c r="K1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J41"/>
  <c r="K41"/>
  <c r="J42"/>
  <c r="K42"/>
  <c r="J43"/>
  <c r="K43"/>
  <c r="J44"/>
  <c r="K44"/>
  <c r="J45"/>
  <c r="K45"/>
  <c r="J46"/>
  <c r="K46"/>
  <c r="J47"/>
  <c r="K47"/>
  <c r="J48"/>
  <c r="K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J79"/>
  <c r="K79"/>
  <c r="J80"/>
  <c r="K80"/>
  <c r="J81"/>
  <c r="K81"/>
  <c r="J82"/>
  <c r="K82"/>
  <c r="J83"/>
  <c r="K83"/>
  <c r="J84"/>
  <c r="K84"/>
  <c r="J85"/>
  <c r="K85"/>
  <c r="J86"/>
  <c r="K86"/>
  <c r="J87"/>
  <c r="K87"/>
  <c r="J88"/>
  <c r="K88"/>
  <c r="J89"/>
  <c r="K89"/>
  <c r="J90"/>
  <c r="K90"/>
  <c r="J91"/>
  <c r="K91"/>
  <c r="J92"/>
  <c r="K92"/>
  <c r="J93"/>
  <c r="K93"/>
  <c r="C53" i="2"/>
  <c r="D2" i="4"/>
  <c r="H2"/>
  <c r="D3"/>
  <c r="H3"/>
  <c r="D4"/>
  <c r="H4"/>
  <c r="D5"/>
  <c r="H5"/>
  <c r="D6"/>
  <c r="H6"/>
  <c r="D7"/>
  <c r="H7"/>
  <c r="D8"/>
  <c r="H8"/>
  <c r="D9"/>
  <c r="H9"/>
  <c r="D10"/>
  <c r="H10"/>
  <c r="D11"/>
  <c r="H11"/>
  <c r="D12"/>
  <c r="H12"/>
  <c r="D13"/>
  <c r="H13"/>
  <c r="D14"/>
  <c r="H14"/>
  <c r="D15"/>
  <c r="H15"/>
  <c r="D16"/>
  <c r="H16"/>
  <c r="D17"/>
  <c r="H17"/>
  <c r="D18"/>
  <c r="H18"/>
  <c r="D19"/>
  <c r="H19"/>
  <c r="D20"/>
  <c r="H20"/>
  <c r="D21"/>
  <c r="H21"/>
  <c r="D22"/>
  <c r="H22"/>
  <c r="D23"/>
  <c r="H23"/>
  <c r="D24"/>
  <c r="H24"/>
  <c r="D25"/>
  <c r="H25"/>
  <c r="D26"/>
  <c r="H26"/>
  <c r="D27"/>
  <c r="H27"/>
  <c r="D28"/>
  <c r="H28"/>
  <c r="D29"/>
  <c r="H29"/>
  <c r="D30"/>
  <c r="H30"/>
  <c r="D31"/>
  <c r="H31"/>
  <c r="D32"/>
  <c r="H32"/>
  <c r="D33"/>
  <c r="H33"/>
  <c r="D34"/>
  <c r="H34"/>
  <c r="D35"/>
  <c r="H35"/>
  <c r="D36"/>
  <c r="H36"/>
  <c r="D37"/>
  <c r="H37"/>
  <c r="D38"/>
  <c r="H38"/>
  <c r="D39"/>
  <c r="H39"/>
  <c r="D40"/>
  <c r="H40"/>
  <c r="D41"/>
  <c r="H41"/>
  <c r="D42"/>
  <c r="H42"/>
  <c r="D43"/>
  <c r="H43"/>
  <c r="D44"/>
  <c r="H44"/>
  <c r="D45"/>
  <c r="H45"/>
  <c r="D46"/>
  <c r="H46"/>
  <c r="D47"/>
  <c r="H47"/>
  <c r="D48"/>
  <c r="H48"/>
  <c r="D49"/>
  <c r="H49"/>
  <c r="D50"/>
  <c r="H50"/>
  <c r="D51"/>
  <c r="H51"/>
  <c r="D52"/>
  <c r="H52"/>
  <c r="D53"/>
  <c r="H53"/>
  <c r="D54"/>
  <c r="H54"/>
  <c r="D55"/>
  <c r="H55"/>
  <c r="D56"/>
  <c r="H56"/>
  <c r="D57"/>
  <c r="H57"/>
  <c r="D58"/>
  <c r="H58"/>
  <c r="D59"/>
  <c r="H59"/>
  <c r="D60"/>
  <c r="H60"/>
  <c r="D61"/>
  <c r="H61"/>
  <c r="D62"/>
  <c r="H62"/>
  <c r="D63"/>
  <c r="H63"/>
  <c r="D64"/>
  <c r="H64"/>
  <c r="D65"/>
  <c r="H65"/>
  <c r="D66"/>
  <c r="H66"/>
  <c r="D67"/>
  <c r="H67"/>
  <c r="D68"/>
  <c r="H68"/>
  <c r="D69"/>
  <c r="H69"/>
  <c r="D70"/>
  <c r="H70"/>
  <c r="D71"/>
  <c r="H71"/>
  <c r="D72"/>
  <c r="H72"/>
  <c r="D73"/>
  <c r="H73"/>
  <c r="D74"/>
  <c r="H74"/>
  <c r="D75"/>
  <c r="H75"/>
  <c r="D76"/>
  <c r="H76"/>
  <c r="D77"/>
  <c r="H77"/>
  <c r="D78"/>
  <c r="H78"/>
  <c r="D79"/>
  <c r="H79"/>
  <c r="D80"/>
  <c r="H80"/>
  <c r="D81"/>
  <c r="H81"/>
  <c r="D82"/>
  <c r="H82"/>
  <c r="D83"/>
  <c r="H83"/>
  <c r="D84"/>
  <c r="H84"/>
  <c r="D85"/>
  <c r="H85"/>
  <c r="D86"/>
  <c r="H86"/>
  <c r="D87"/>
  <c r="H87"/>
  <c r="D88"/>
  <c r="H88"/>
  <c r="D89"/>
  <c r="H89"/>
  <c r="D90"/>
  <c r="H90"/>
  <c r="D91"/>
  <c r="H91"/>
  <c r="D92"/>
  <c r="H92"/>
  <c r="D93"/>
  <c r="H93"/>
  <c r="D94"/>
  <c r="H94"/>
  <c r="D95"/>
  <c r="H95"/>
  <c r="D96"/>
  <c r="H96"/>
  <c r="D97"/>
  <c r="H97"/>
  <c r="D98"/>
  <c r="H98"/>
  <c r="D99"/>
  <c r="H99"/>
  <c r="D100"/>
  <c r="H100"/>
  <c r="D101"/>
  <c r="H101"/>
  <c r="D102"/>
  <c r="H102"/>
  <c r="D103"/>
  <c r="H103"/>
  <c r="D104"/>
  <c r="H104"/>
  <c r="D105"/>
  <c r="H105"/>
  <c r="D106"/>
  <c r="H106"/>
  <c r="D107"/>
  <c r="H107"/>
  <c r="D108"/>
  <c r="H108"/>
  <c r="F109"/>
  <c r="D110"/>
  <c r="T90" i="1" l="1"/>
  <c r="U90"/>
  <c r="U89"/>
  <c r="T89"/>
  <c r="T88"/>
  <c r="U88"/>
  <c r="U87"/>
  <c r="T87"/>
  <c r="T86"/>
  <c r="U86"/>
  <c r="U85"/>
  <c r="T85"/>
  <c r="T84"/>
  <c r="U84"/>
  <c r="U83"/>
  <c r="T83"/>
  <c r="T82"/>
  <c r="U82"/>
  <c r="U81"/>
  <c r="T81"/>
  <c r="T80"/>
  <c r="U80"/>
  <c r="U79"/>
  <c r="T79"/>
  <c r="T78"/>
  <c r="U78"/>
  <c r="U77"/>
  <c r="T77"/>
  <c r="T76"/>
  <c r="U76"/>
  <c r="U75"/>
  <c r="T75"/>
  <c r="T74"/>
  <c r="U74"/>
  <c r="U73"/>
  <c r="T73"/>
  <c r="T72"/>
  <c r="U72"/>
  <c r="U71"/>
  <c r="T71"/>
  <c r="T70"/>
  <c r="U70"/>
  <c r="U69"/>
  <c r="T69"/>
  <c r="T68"/>
  <c r="U68"/>
  <c r="U67"/>
  <c r="T67"/>
  <c r="T66"/>
  <c r="U66"/>
  <c r="U65"/>
  <c r="T65"/>
  <c r="T64"/>
  <c r="U64"/>
  <c r="U63"/>
  <c r="T63"/>
  <c r="T62"/>
  <c r="U62"/>
  <c r="U61"/>
  <c r="T61"/>
  <c r="T60"/>
  <c r="U60"/>
  <c r="U59"/>
  <c r="T59"/>
  <c r="T58"/>
  <c r="U58"/>
  <c r="U57"/>
  <c r="T57"/>
  <c r="T56"/>
  <c r="U56"/>
  <c r="U55"/>
  <c r="T55"/>
  <c r="T54"/>
  <c r="U54"/>
  <c r="U53"/>
  <c r="T53"/>
  <c r="T52"/>
  <c r="U52"/>
  <c r="U51"/>
  <c r="T51"/>
  <c r="T50"/>
  <c r="U50"/>
  <c r="U49"/>
  <c r="T49"/>
  <c r="T48"/>
  <c r="U48"/>
  <c r="U47"/>
  <c r="T47"/>
  <c r="T46"/>
  <c r="U46"/>
  <c r="U45"/>
  <c r="T45"/>
  <c r="T44"/>
  <c r="U44"/>
  <c r="U43"/>
  <c r="T43"/>
  <c r="T42"/>
  <c r="U42"/>
  <c r="U41"/>
  <c r="T41"/>
  <c r="T40"/>
  <c r="U40"/>
  <c r="U39"/>
  <c r="T39"/>
  <c r="T38"/>
  <c r="U38"/>
  <c r="U37"/>
  <c r="T37"/>
  <c r="T36"/>
  <c r="U36"/>
  <c r="U35"/>
  <c r="T35"/>
  <c r="T34"/>
  <c r="U34"/>
  <c r="U33"/>
  <c r="T33"/>
  <c r="T32"/>
  <c r="U32"/>
  <c r="U31"/>
  <c r="T31"/>
  <c r="T30"/>
  <c r="U30"/>
  <c r="U29"/>
  <c r="T29"/>
  <c r="T28"/>
  <c r="U28"/>
  <c r="U27"/>
  <c r="T27"/>
  <c r="T26"/>
  <c r="U26"/>
  <c r="U25"/>
  <c r="T25"/>
  <c r="T24"/>
  <c r="U24"/>
  <c r="U23"/>
  <c r="T23"/>
  <c r="T22"/>
  <c r="U22"/>
  <c r="U21"/>
  <c r="T21"/>
  <c r="T20"/>
  <c r="U20"/>
  <c r="U19"/>
  <c r="T19"/>
  <c r="T18"/>
  <c r="U18"/>
  <c r="U17"/>
  <c r="T17"/>
  <c r="T16"/>
  <c r="U16"/>
  <c r="U15"/>
  <c r="T15"/>
  <c r="T14"/>
  <c r="U14"/>
  <c r="U13"/>
  <c r="T13"/>
  <c r="T12"/>
  <c r="U12"/>
  <c r="U11"/>
  <c r="T11"/>
  <c r="T10"/>
  <c r="U10"/>
  <c r="U9"/>
  <c r="T9"/>
  <c r="T8"/>
  <c r="U8"/>
  <c r="U7"/>
  <c r="T7"/>
  <c r="T6"/>
  <c r="U6"/>
  <c r="U5"/>
  <c r="T5"/>
  <c r="T4"/>
  <c r="U4"/>
  <c r="U3"/>
  <c r="T3"/>
  <c r="T2"/>
  <c r="U2"/>
  <c r="G5" i="4"/>
  <c r="I5" s="1"/>
  <c r="C105"/>
  <c r="C101"/>
  <c r="E101" s="1"/>
  <c r="C97"/>
  <c r="C93"/>
  <c r="E93" s="1"/>
  <c r="C89"/>
  <c r="C85"/>
  <c r="E85" s="1"/>
  <c r="C81"/>
  <c r="C77"/>
  <c r="E77" s="1"/>
  <c r="C73"/>
  <c r="C69"/>
  <c r="E69" s="1"/>
  <c r="C65"/>
  <c r="E65" s="1"/>
  <c r="C61"/>
  <c r="E61" s="1"/>
  <c r="C57"/>
  <c r="C53"/>
  <c r="E53" s="1"/>
  <c r="C49"/>
  <c r="C45"/>
  <c r="E45" s="1"/>
  <c r="C41"/>
  <c r="C37"/>
  <c r="E37" s="1"/>
  <c r="C33"/>
  <c r="E33" s="1"/>
  <c r="C29"/>
  <c r="E29" s="1"/>
  <c r="C25"/>
  <c r="E25" s="1"/>
  <c r="C21"/>
  <c r="E21" s="1"/>
  <c r="C17"/>
  <c r="E17" s="1"/>
  <c r="G15"/>
  <c r="I15" s="1"/>
  <c r="G11"/>
  <c r="I11" s="1"/>
  <c r="G7"/>
  <c r="I7" s="1"/>
  <c r="G3"/>
  <c r="I3" s="1"/>
  <c r="C107"/>
  <c r="E107" s="1"/>
  <c r="C103"/>
  <c r="E103" s="1"/>
  <c r="C99"/>
  <c r="E99" s="1"/>
  <c r="C95"/>
  <c r="E95" s="1"/>
  <c r="C91"/>
  <c r="E91" s="1"/>
  <c r="C87"/>
  <c r="E87" s="1"/>
  <c r="C83"/>
  <c r="E83" s="1"/>
  <c r="C79"/>
  <c r="E79" s="1"/>
  <c r="C75"/>
  <c r="E75" s="1"/>
  <c r="C71"/>
  <c r="E71" s="1"/>
  <c r="C67"/>
  <c r="E67" s="1"/>
  <c r="C63"/>
  <c r="E63" s="1"/>
  <c r="C59"/>
  <c r="E59" s="1"/>
  <c r="C55"/>
  <c r="E55" s="1"/>
  <c r="C51"/>
  <c r="E51" s="1"/>
  <c r="C47"/>
  <c r="E47" s="1"/>
  <c r="C43"/>
  <c r="E43" s="1"/>
  <c r="C39"/>
  <c r="E39" s="1"/>
  <c r="C35"/>
  <c r="E35" s="1"/>
  <c r="C31"/>
  <c r="E31" s="1"/>
  <c r="C27"/>
  <c r="E27" s="1"/>
  <c r="C23"/>
  <c r="E23" s="1"/>
  <c r="C19"/>
  <c r="E19" s="1"/>
  <c r="G13"/>
  <c r="I13" s="1"/>
  <c r="G9"/>
  <c r="I9" s="1"/>
  <c r="G2"/>
  <c r="I2" s="1"/>
  <c r="I110"/>
  <c r="E110"/>
  <c r="C108"/>
  <c r="C106"/>
  <c r="E106" s="1"/>
  <c r="C104"/>
  <c r="E104" s="1"/>
  <c r="C102"/>
  <c r="E102" s="1"/>
  <c r="C100"/>
  <c r="E100" s="1"/>
  <c r="C98"/>
  <c r="E98" s="1"/>
  <c r="C96"/>
  <c r="E96" s="1"/>
  <c r="C94"/>
  <c r="E94" s="1"/>
  <c r="C92"/>
  <c r="E92" s="1"/>
  <c r="C90"/>
  <c r="E90" s="1"/>
  <c r="C88"/>
  <c r="E88" s="1"/>
  <c r="C86"/>
  <c r="E86" s="1"/>
  <c r="C84"/>
  <c r="E84" s="1"/>
  <c r="C82"/>
  <c r="E82" s="1"/>
  <c r="C80"/>
  <c r="E80" s="1"/>
  <c r="C78"/>
  <c r="E78" s="1"/>
  <c r="C76"/>
  <c r="E76" s="1"/>
  <c r="C74"/>
  <c r="E74" s="1"/>
  <c r="C72"/>
  <c r="E72" s="1"/>
  <c r="C70"/>
  <c r="C68"/>
  <c r="E68" s="1"/>
  <c r="C66"/>
  <c r="E66" s="1"/>
  <c r="C64"/>
  <c r="E64" s="1"/>
  <c r="C62"/>
  <c r="E62" s="1"/>
  <c r="C60"/>
  <c r="E60" s="1"/>
  <c r="C58"/>
  <c r="E58" s="1"/>
  <c r="C56"/>
  <c r="E56" s="1"/>
  <c r="C54"/>
  <c r="E54" s="1"/>
  <c r="C52"/>
  <c r="E52" s="1"/>
  <c r="C50"/>
  <c r="E50" s="1"/>
  <c r="C48"/>
  <c r="E48" s="1"/>
  <c r="C46"/>
  <c r="E46" s="1"/>
  <c r="C44"/>
  <c r="E44" s="1"/>
  <c r="C42"/>
  <c r="E42" s="1"/>
  <c r="C40"/>
  <c r="E40" s="1"/>
  <c r="C38"/>
  <c r="C36"/>
  <c r="E36" s="1"/>
  <c r="C34"/>
  <c r="E34" s="1"/>
  <c r="C32"/>
  <c r="E32" s="1"/>
  <c r="C30"/>
  <c r="E30" s="1"/>
  <c r="C28"/>
  <c r="E28" s="1"/>
  <c r="C26"/>
  <c r="E26" s="1"/>
  <c r="C24"/>
  <c r="E24" s="1"/>
  <c r="C22"/>
  <c r="E22" s="1"/>
  <c r="C20"/>
  <c r="E20" s="1"/>
  <c r="C18"/>
  <c r="E18" s="1"/>
  <c r="G14"/>
  <c r="I14" s="1"/>
  <c r="G12"/>
  <c r="I12" s="1"/>
  <c r="G10"/>
  <c r="I10" s="1"/>
  <c r="G8"/>
  <c r="I8" s="1"/>
  <c r="G6"/>
  <c r="I6" s="1"/>
  <c r="G4"/>
  <c r="I4" s="1"/>
  <c r="E108"/>
  <c r="E70"/>
  <c r="E38"/>
  <c r="E105"/>
  <c r="E97"/>
  <c r="E89"/>
  <c r="E81"/>
  <c r="E73"/>
  <c r="E57"/>
  <c r="E49"/>
  <c r="E41"/>
  <c r="C2"/>
  <c r="H109"/>
  <c r="H111" s="1"/>
  <c r="D109"/>
  <c r="D111" s="1"/>
  <c r="G108"/>
  <c r="I108" s="1"/>
  <c r="G107"/>
  <c r="I107" s="1"/>
  <c r="G106"/>
  <c r="I106" s="1"/>
  <c r="G105"/>
  <c r="I105" s="1"/>
  <c r="G104"/>
  <c r="I104" s="1"/>
  <c r="G103"/>
  <c r="I103" s="1"/>
  <c r="G102"/>
  <c r="I102" s="1"/>
  <c r="G101"/>
  <c r="I101" s="1"/>
  <c r="G100"/>
  <c r="I100" s="1"/>
  <c r="G99"/>
  <c r="I99" s="1"/>
  <c r="G98"/>
  <c r="I98" s="1"/>
  <c r="G97"/>
  <c r="I97" s="1"/>
  <c r="G96"/>
  <c r="I96" s="1"/>
  <c r="G95"/>
  <c r="I95" s="1"/>
  <c r="G94"/>
  <c r="I94" s="1"/>
  <c r="G93"/>
  <c r="I93" s="1"/>
  <c r="G92"/>
  <c r="I92" s="1"/>
  <c r="G91"/>
  <c r="I91" s="1"/>
  <c r="G90"/>
  <c r="I90" s="1"/>
  <c r="G89"/>
  <c r="I89" s="1"/>
  <c r="G88"/>
  <c r="I88" s="1"/>
  <c r="G87"/>
  <c r="I87" s="1"/>
  <c r="G86"/>
  <c r="I86" s="1"/>
  <c r="G85"/>
  <c r="I85" s="1"/>
  <c r="G84"/>
  <c r="I84" s="1"/>
  <c r="G83"/>
  <c r="I83" s="1"/>
  <c r="G82"/>
  <c r="I82" s="1"/>
  <c r="G81"/>
  <c r="I81" s="1"/>
  <c r="G80"/>
  <c r="I80" s="1"/>
  <c r="G79"/>
  <c r="I79" s="1"/>
  <c r="G78"/>
  <c r="I78" s="1"/>
  <c r="G77"/>
  <c r="I77" s="1"/>
  <c r="G76"/>
  <c r="I76" s="1"/>
  <c r="G75"/>
  <c r="I75" s="1"/>
  <c r="G74"/>
  <c r="I74" s="1"/>
  <c r="G73"/>
  <c r="I73" s="1"/>
  <c r="G72"/>
  <c r="I72" s="1"/>
  <c r="G71"/>
  <c r="I71" s="1"/>
  <c r="G70"/>
  <c r="I70" s="1"/>
  <c r="G69"/>
  <c r="I69" s="1"/>
  <c r="G68"/>
  <c r="I68" s="1"/>
  <c r="G67"/>
  <c r="I67" s="1"/>
  <c r="G66"/>
  <c r="I66" s="1"/>
  <c r="G65"/>
  <c r="I65" s="1"/>
  <c r="G64"/>
  <c r="I64" s="1"/>
  <c r="G63"/>
  <c r="I63" s="1"/>
  <c r="G62"/>
  <c r="I62" s="1"/>
  <c r="G61"/>
  <c r="I61" s="1"/>
  <c r="G60"/>
  <c r="I60" s="1"/>
  <c r="G59"/>
  <c r="I59" s="1"/>
  <c r="G58"/>
  <c r="I58" s="1"/>
  <c r="G57"/>
  <c r="I57" s="1"/>
  <c r="G56"/>
  <c r="I56" s="1"/>
  <c r="G55"/>
  <c r="I55" s="1"/>
  <c r="G54"/>
  <c r="I54" s="1"/>
  <c r="G53"/>
  <c r="I53" s="1"/>
  <c r="G52"/>
  <c r="I52" s="1"/>
  <c r="G51"/>
  <c r="I51" s="1"/>
  <c r="G50"/>
  <c r="I50" s="1"/>
  <c r="G49"/>
  <c r="I49" s="1"/>
  <c r="G48"/>
  <c r="I48" s="1"/>
  <c r="G47"/>
  <c r="I47" s="1"/>
  <c r="G46"/>
  <c r="I46" s="1"/>
  <c r="G45"/>
  <c r="I45" s="1"/>
  <c r="G44"/>
  <c r="I44" s="1"/>
  <c r="G43"/>
  <c r="I43" s="1"/>
  <c r="G42"/>
  <c r="I42" s="1"/>
  <c r="G41"/>
  <c r="I41" s="1"/>
  <c r="G40"/>
  <c r="I40" s="1"/>
  <c r="G39"/>
  <c r="I39" s="1"/>
  <c r="G38"/>
  <c r="I38" s="1"/>
  <c r="G37"/>
  <c r="I37" s="1"/>
  <c r="G36"/>
  <c r="I36" s="1"/>
  <c r="G35"/>
  <c r="I35" s="1"/>
  <c r="G34"/>
  <c r="I34" s="1"/>
  <c r="G33"/>
  <c r="I33" s="1"/>
  <c r="G32"/>
  <c r="I32" s="1"/>
  <c r="G31"/>
  <c r="I31" s="1"/>
  <c r="G30"/>
  <c r="I30" s="1"/>
  <c r="G29"/>
  <c r="I29" s="1"/>
  <c r="G28"/>
  <c r="I28" s="1"/>
  <c r="G27"/>
  <c r="I27" s="1"/>
  <c r="G26"/>
  <c r="I26" s="1"/>
  <c r="G25"/>
  <c r="I25" s="1"/>
  <c r="G24"/>
  <c r="I24" s="1"/>
  <c r="G23"/>
  <c r="I23" s="1"/>
  <c r="G22"/>
  <c r="I22" s="1"/>
  <c r="G21"/>
  <c r="I21" s="1"/>
  <c r="G20"/>
  <c r="I20" s="1"/>
  <c r="G19"/>
  <c r="I19" s="1"/>
  <c r="G18"/>
  <c r="I18" s="1"/>
  <c r="G17"/>
  <c r="I17" s="1"/>
  <c r="G16"/>
  <c r="C16"/>
  <c r="E16" s="1"/>
  <c r="C15"/>
  <c r="E15" s="1"/>
  <c r="C14"/>
  <c r="E14" s="1"/>
  <c r="C13"/>
  <c r="E13" s="1"/>
  <c r="C12"/>
  <c r="E12" s="1"/>
  <c r="C11"/>
  <c r="E11" s="1"/>
  <c r="C10"/>
  <c r="E10" s="1"/>
  <c r="C9"/>
  <c r="E9" s="1"/>
  <c r="C8"/>
  <c r="E8" s="1"/>
  <c r="C7"/>
  <c r="E7" s="1"/>
  <c r="C6"/>
  <c r="E6" s="1"/>
  <c r="C5"/>
  <c r="E5" s="1"/>
  <c r="C4"/>
  <c r="E4" s="1"/>
  <c r="C3"/>
  <c r="E2" l="1"/>
  <c r="C109"/>
  <c r="E109" s="1"/>
  <c r="IU110"/>
  <c r="G109"/>
  <c r="I16"/>
  <c r="E3"/>
  <c r="C111" l="1"/>
  <c r="E111" s="1"/>
  <c r="I109"/>
  <c r="IU109" s="1"/>
  <c r="G111"/>
  <c r="I111" s="1"/>
  <c r="IU111" l="1"/>
</calcChain>
</file>

<file path=xl/sharedStrings.xml><?xml version="1.0" encoding="utf-8"?>
<sst xmlns="http://schemas.openxmlformats.org/spreadsheetml/2006/main" count="413" uniqueCount="310">
  <si>
    <t>086666</t>
  </si>
  <si>
    <t xml:space="preserve">CD Hydro Tops </t>
  </si>
  <si>
    <t>SHARE Shipments Vs 3rd Party Sales</t>
  </si>
  <si>
    <t xml:space="preserve">Product </t>
  </si>
  <si>
    <t>Open</t>
  </si>
  <si>
    <t>Receipt</t>
  </si>
  <si>
    <t>Prod / Cons</t>
  </si>
  <si>
    <t>Shipment</t>
  </si>
  <si>
    <t>Loss/Gain</t>
  </si>
  <si>
    <t>Own Cons</t>
  </si>
  <si>
    <t>Close</t>
  </si>
  <si>
    <t xml:space="preserve">00130 - JP-5 ANTIICANT </t>
  </si>
  <si>
    <t xml:space="preserve">00319 - PUL 93 RVP 7/8# </t>
  </si>
  <si>
    <t xml:space="preserve">00351 - RUL87 RVP 9.0 </t>
  </si>
  <si>
    <t xml:space="preserve">00402 - JP-8 ANTIICANT </t>
  </si>
  <si>
    <t xml:space="preserve">00863 - Purchased Hydrogen </t>
  </si>
  <si>
    <t xml:space="preserve">00896 - Shell Marine Diesel Fuel </t>
  </si>
  <si>
    <t xml:space="preserve">08088 - MTBE </t>
  </si>
  <si>
    <t xml:space="preserve">08152 - Untreated Cat Gasoline (off spec) </t>
  </si>
  <si>
    <t xml:space="preserve">26858 - PMI Gasoline </t>
  </si>
  <si>
    <t>000130</t>
  </si>
  <si>
    <t xml:space="preserve">JP-5 ANTIICANT </t>
  </si>
  <si>
    <t>Pecten Invoice</t>
  </si>
  <si>
    <t>000280</t>
  </si>
  <si>
    <t>000319</t>
  </si>
  <si>
    <t xml:space="preserve">PUL 93 RVP 7/8# </t>
  </si>
  <si>
    <t>000351</t>
  </si>
  <si>
    <t xml:space="preserve">RUL87 RVP 9.0 </t>
  </si>
  <si>
    <t>000402</t>
  </si>
  <si>
    <t xml:space="preserve">JP-8 ANTIICANT </t>
  </si>
  <si>
    <t>000429</t>
  </si>
  <si>
    <t>000804</t>
  </si>
  <si>
    <t>000863</t>
  </si>
  <si>
    <t xml:space="preserve">Purchased Hydrogen </t>
  </si>
  <si>
    <t>000866</t>
  </si>
  <si>
    <t>000896</t>
  </si>
  <si>
    <t xml:space="preserve">Shell Marine Diesel Fuel </t>
  </si>
  <si>
    <t>000918</t>
  </si>
  <si>
    <t>001046</t>
  </si>
  <si>
    <t>003300</t>
  </si>
  <si>
    <t>006819</t>
  </si>
  <si>
    <t>008021</t>
  </si>
  <si>
    <t>008030</t>
  </si>
  <si>
    <t>008060</t>
  </si>
  <si>
    <t>008088</t>
  </si>
  <si>
    <t xml:space="preserve">MTBE </t>
  </si>
  <si>
    <t>008113</t>
  </si>
  <si>
    <t>008152</t>
  </si>
  <si>
    <t>Untreated Cat Gasoline (o</t>
  </si>
  <si>
    <t>008160</t>
  </si>
  <si>
    <t>008162</t>
  </si>
  <si>
    <t>008200</t>
  </si>
  <si>
    <t>008240</t>
  </si>
  <si>
    <t>008679</t>
  </si>
  <si>
    <t>008708</t>
  </si>
  <si>
    <t>008709</t>
  </si>
  <si>
    <t>008712</t>
  </si>
  <si>
    <t>008720</t>
  </si>
  <si>
    <t>008737</t>
  </si>
  <si>
    <t>008745</t>
  </si>
  <si>
    <t>008771</t>
  </si>
  <si>
    <t>008951</t>
  </si>
  <si>
    <t>024504</t>
  </si>
  <si>
    <t>026672</t>
  </si>
  <si>
    <t>026858</t>
  </si>
  <si>
    <t xml:space="preserve">PMI Gasoline </t>
  </si>
  <si>
    <t>034201</t>
  </si>
  <si>
    <t>034214</t>
  </si>
  <si>
    <t>036515</t>
  </si>
  <si>
    <t>041315</t>
  </si>
  <si>
    <t>041604</t>
  </si>
  <si>
    <t>050351</t>
  </si>
  <si>
    <t>050360</t>
  </si>
  <si>
    <t>050362</t>
  </si>
  <si>
    <t>050364</t>
  </si>
  <si>
    <t>087574</t>
  </si>
  <si>
    <t>087656</t>
  </si>
  <si>
    <t>087981</t>
  </si>
  <si>
    <t>092000</t>
  </si>
  <si>
    <t>092107</t>
  </si>
  <si>
    <t>Shell Deer Park Refining Company</t>
  </si>
  <si>
    <t>Sales to 3rd Party by Material</t>
  </si>
  <si>
    <t>Material No</t>
  </si>
  <si>
    <t>BBL Qty</t>
  </si>
  <si>
    <t>Amount</t>
  </si>
  <si>
    <t>3rd Party Purchases Summary by Material</t>
  </si>
  <si>
    <t>P-3</t>
  </si>
  <si>
    <t>Qty BBL</t>
  </si>
  <si>
    <t>Grand Total</t>
  </si>
  <si>
    <t xml:space="preserve">SHARE, S-3 and P-3 Totals </t>
  </si>
  <si>
    <t xml:space="preserve">Variance </t>
  </si>
  <si>
    <t xml:space="preserve">82396 - Bonga Crude </t>
  </si>
  <si>
    <t>082396</t>
  </si>
  <si>
    <t xml:space="preserve">Bonga Crude </t>
  </si>
  <si>
    <t>000306</t>
  </si>
  <si>
    <t>087555</t>
  </si>
  <si>
    <t>S-3</t>
  </si>
  <si>
    <t>027101</t>
  </si>
  <si>
    <t>SHARE Receipts Vs 3rd Party Purchases</t>
  </si>
  <si>
    <t>087476</t>
  </si>
  <si>
    <t>087644</t>
  </si>
  <si>
    <t>087040</t>
  </si>
  <si>
    <t>001037</t>
  </si>
  <si>
    <t xml:space="preserve">92550 - SH.PROP/PROPY-UNODOR </t>
  </si>
  <si>
    <t>087035</t>
  </si>
  <si>
    <t xml:space="preserve">00280 - Maya </t>
  </si>
  <si>
    <t xml:space="preserve">00306 - Toluene for gasoline blending </t>
  </si>
  <si>
    <t xml:space="preserve">00429 - Low Sulfur Diesel </t>
  </si>
  <si>
    <t xml:space="preserve">00804 - Slop Oil </t>
  </si>
  <si>
    <t xml:space="preserve">00866 - Coke Offsite </t>
  </si>
  <si>
    <t xml:space="preserve">00918 - PLAT-2 Feed </t>
  </si>
  <si>
    <t xml:space="preserve">01037 - Cat Crk Coke </t>
  </si>
  <si>
    <t xml:space="preserve">01046 - Shell Sulfur </t>
  </si>
  <si>
    <t xml:space="preserve">03300 - Transmix to Colex </t>
  </si>
  <si>
    <t xml:space="preserve">06819 - Methanol </t>
  </si>
  <si>
    <t xml:space="preserve">08021 - HDU-2 Feed </t>
  </si>
  <si>
    <t xml:space="preserve">08030 - HVY Raffinate </t>
  </si>
  <si>
    <t xml:space="preserve">08060 - Motor Alkylate </t>
  </si>
  <si>
    <t xml:space="preserve">08113 - Untreated Heavy Gas Oil </t>
  </si>
  <si>
    <t xml:space="preserve">08160 - Off Spec Butane/Butylenes </t>
  </si>
  <si>
    <t xml:space="preserve">08162 - Butane/Butylenes </t>
  </si>
  <si>
    <t xml:space="preserve">08200 - SGP Debut Bottoms </t>
  </si>
  <si>
    <t xml:space="preserve">08240 - Untreated Jet Fuel </t>
  </si>
  <si>
    <t xml:space="preserve">08679 - Off Spec Naphtha </t>
  </si>
  <si>
    <t xml:space="preserve">08708 - Cat Cracked Clarified Oil </t>
  </si>
  <si>
    <t xml:space="preserve">08709 - Untreated Light CC Gas Oil </t>
  </si>
  <si>
    <t xml:space="preserve">08712 - High Sulfur Cat Cracked Feed </t>
  </si>
  <si>
    <t xml:space="preserve">08720 - Low Sulfur Cat Cracked Feed </t>
  </si>
  <si>
    <t xml:space="preserve">08737 - ST Run Short Residue </t>
  </si>
  <si>
    <t xml:space="preserve">08745 - CKR Light Gas Oil-BL/FD Stock </t>
  </si>
  <si>
    <t xml:space="preserve">08771 - Untreated Heavy CC Gas Oil </t>
  </si>
  <si>
    <t xml:space="preserve">08951 - Refinery Fuel Gas </t>
  </si>
  <si>
    <t xml:space="preserve">24504 - Untreated Kerosene </t>
  </si>
  <si>
    <t xml:space="preserve">26672 - Shell Turbine Fuel JP-5 </t>
  </si>
  <si>
    <t xml:space="preserve">27101 - GN Ultra LS Diesel 2S-15 PPM </t>
  </si>
  <si>
    <t xml:space="preserve">34201 - Gas Blend Naphtha DPMC </t>
  </si>
  <si>
    <t xml:space="preserve">34214 - Pyrolysis Heavy Gasoline (C7) </t>
  </si>
  <si>
    <t xml:space="preserve">36515 - Med Sulfur Cat Cracked Feed </t>
  </si>
  <si>
    <t xml:space="preserve">41315 - Residual Blendstock </t>
  </si>
  <si>
    <t xml:space="preserve">50360 - Reformate for Blending </t>
  </si>
  <si>
    <t xml:space="preserve">50362 - Light High Octane Platformate </t>
  </si>
  <si>
    <t xml:space="preserve">50364 - CR-3 Feed </t>
  </si>
  <si>
    <t xml:space="preserve">87035 - Untreated CCU Dry Gas </t>
  </si>
  <si>
    <t xml:space="preserve">87040 - DCU Off Gas (old-Coker/PSA vent gas to OP2 </t>
  </si>
  <si>
    <t xml:space="preserve">87476 - BB Hytrt H2 to Chem-DPMCBB </t>
  </si>
  <si>
    <t xml:space="preserve">87555 - Phenol C3 TO SGP </t>
  </si>
  <si>
    <t xml:space="preserve">87574 - CR-3 Reformate </t>
  </si>
  <si>
    <t xml:space="preserve">87644 - OP2 Hydrogen to Oil </t>
  </si>
  <si>
    <t xml:space="preserve">87656 - CCRA Dry gas DP </t>
  </si>
  <si>
    <t xml:space="preserve">87981 - Hydrogen to Chemical </t>
  </si>
  <si>
    <t xml:space="preserve">92000 - Shell Propane-HD-5 </t>
  </si>
  <si>
    <t xml:space="preserve">92107 - Normal Butane </t>
  </si>
  <si>
    <t xml:space="preserve">92606 - Isobutane </t>
  </si>
  <si>
    <t>041430</t>
  </si>
  <si>
    <t xml:space="preserve">Maya </t>
  </si>
  <si>
    <t>Toluene for gasoline blen</t>
  </si>
  <si>
    <t xml:space="preserve">Low Sulfur Diesel </t>
  </si>
  <si>
    <t xml:space="preserve">Slop Oil </t>
  </si>
  <si>
    <t xml:space="preserve">Coke Offsite </t>
  </si>
  <si>
    <t xml:space="preserve">PLAT-2 Feed </t>
  </si>
  <si>
    <t xml:space="preserve">Cat Crk Coke </t>
  </si>
  <si>
    <t xml:space="preserve">Shell Sulfur </t>
  </si>
  <si>
    <t xml:space="preserve">Transmix to Colex </t>
  </si>
  <si>
    <t xml:space="preserve">Methanol </t>
  </si>
  <si>
    <t xml:space="preserve">HDU-2 Feed </t>
  </si>
  <si>
    <t xml:space="preserve">HVY Raffinate </t>
  </si>
  <si>
    <t xml:space="preserve">Motor Alkylate </t>
  </si>
  <si>
    <t xml:space="preserve">Untreated Heavy Gas Oil </t>
  </si>
  <si>
    <t>Off Spec Butane/Butylenes</t>
  </si>
  <si>
    <t xml:space="preserve">Butane/Butylenes </t>
  </si>
  <si>
    <t xml:space="preserve">SGP Debut Bottoms </t>
  </si>
  <si>
    <t xml:space="preserve">Untreated Jet Fuel </t>
  </si>
  <si>
    <t xml:space="preserve">Off Spec Naphtha </t>
  </si>
  <si>
    <t>Cat Cracked Clarified Oil</t>
  </si>
  <si>
    <t>Untreated Light CC Gas Oi</t>
  </si>
  <si>
    <t>High Sulfur Cat Cracked F</t>
  </si>
  <si>
    <t>Low Sulfur Cat Cracked Fe</t>
  </si>
  <si>
    <t xml:space="preserve">ST Run Short Residue </t>
  </si>
  <si>
    <t>CKR Light Gas Oil-BL/FD S</t>
  </si>
  <si>
    <t>Untreated Heavy CC Gas Oi</t>
  </si>
  <si>
    <t xml:space="preserve">Refinery Fuel Gas </t>
  </si>
  <si>
    <t xml:space="preserve">Untreated Kerosene </t>
  </si>
  <si>
    <t xml:space="preserve">Shell Turbine Fuel JP-5 </t>
  </si>
  <si>
    <t xml:space="preserve">GN Ultra LS Diesel 2S-15 </t>
  </si>
  <si>
    <t xml:space="preserve">Gas Blend Naphtha DPMC </t>
  </si>
  <si>
    <t xml:space="preserve">Pyrolysis Heavy Gasoline </t>
  </si>
  <si>
    <t>Med Sulfur Cat Cracked Fe</t>
  </si>
  <si>
    <t xml:space="preserve">Residual Blendstock </t>
  </si>
  <si>
    <t xml:space="preserve">Reformate for Blending </t>
  </si>
  <si>
    <t>Light High Octane Platfor</t>
  </si>
  <si>
    <t xml:space="preserve">CR-3 Feed </t>
  </si>
  <si>
    <t xml:space="preserve">Untreated CCU Dry Gas </t>
  </si>
  <si>
    <t>DCU Off Gas (old-Coker/PS</t>
  </si>
  <si>
    <t>BB Hytrt H2 to Chem-DPMCB</t>
  </si>
  <si>
    <t xml:space="preserve">Phenol C3 TO SGP </t>
  </si>
  <si>
    <t xml:space="preserve">CR-3 Reformate </t>
  </si>
  <si>
    <t xml:space="preserve">OP2 Hydrogen to Oil </t>
  </si>
  <si>
    <t xml:space="preserve">CCRA Dry gas DP </t>
  </si>
  <si>
    <t xml:space="preserve">Hydrogen to Chemical </t>
  </si>
  <si>
    <t xml:space="preserve">Shell Propane-HD-5 </t>
  </si>
  <si>
    <t xml:space="preserve">Normal Butane </t>
  </si>
  <si>
    <t xml:space="preserve">86666 - CD Hydro Tops </t>
  </si>
  <si>
    <t>008605</t>
  </si>
  <si>
    <t xml:space="preserve">08605 - SR C5/C6 </t>
  </si>
  <si>
    <t xml:space="preserve">SR C5/C6 </t>
  </si>
  <si>
    <t xml:space="preserve">01048 - Carbon Dioxide </t>
  </si>
  <si>
    <t>001048</t>
  </si>
  <si>
    <t xml:space="preserve">Carbon Dioxide </t>
  </si>
  <si>
    <t xml:space="preserve">41430 - Misc Cutter Stock </t>
  </si>
  <si>
    <t xml:space="preserve">Misc Cutter Stock </t>
  </si>
  <si>
    <t>Routine monthly variance</t>
  </si>
  <si>
    <t>092550</t>
  </si>
  <si>
    <t xml:space="preserve">SH.PROP/PROPY-UNODOR </t>
  </si>
  <si>
    <t xml:space="preserve">87045 - OP-2 PSA Hydrogen </t>
  </si>
  <si>
    <t xml:space="preserve">87547 - C5 Gasoline EX HT-3 </t>
  </si>
  <si>
    <t xml:space="preserve">87990 - C7 Plus Gasoline EX HT-2 </t>
  </si>
  <si>
    <t xml:space="preserve">87992 - HT-2/3 Hydrogen </t>
  </si>
  <si>
    <t>034203</t>
  </si>
  <si>
    <t xml:space="preserve">Sales Naphtha </t>
  </si>
  <si>
    <t>087045</t>
  </si>
  <si>
    <t xml:space="preserve">OP-2 PSA Hydrogen </t>
  </si>
  <si>
    <t>087547</t>
  </si>
  <si>
    <t xml:space="preserve">C5 Gasoline EX HT-3 </t>
  </si>
  <si>
    <t>087990</t>
  </si>
  <si>
    <t xml:space="preserve">C7 Plus Gasoline EX HT-2 </t>
  </si>
  <si>
    <t>087992</t>
  </si>
  <si>
    <t xml:space="preserve">HT-2/3 Hydrogen </t>
  </si>
  <si>
    <t xml:space="preserve">00110 - Ballast Water </t>
  </si>
  <si>
    <t>000110</t>
  </si>
  <si>
    <t xml:space="preserve">Ballast Water </t>
  </si>
  <si>
    <t xml:space="preserve">87604 - BASF Butylenes </t>
  </si>
  <si>
    <t>087604</t>
  </si>
  <si>
    <t xml:space="preserve">BASF Butylenes </t>
  </si>
  <si>
    <t xml:space="preserve">87466 - Toluene Concentrate </t>
  </si>
  <si>
    <t>087466</t>
  </si>
  <si>
    <t xml:space="preserve">Toluene Concentrate </t>
  </si>
  <si>
    <t xml:space="preserve">87548 - MXC4 Butylenes </t>
  </si>
  <si>
    <t>008048</t>
  </si>
  <si>
    <t>Light Cat Cracked Gasolin</t>
  </si>
  <si>
    <t>087548</t>
  </si>
  <si>
    <t xml:space="preserve">MXC4 Butylenes </t>
  </si>
  <si>
    <t xml:space="preserve">50351 - Low Sulfur Cat Gasoline </t>
  </si>
  <si>
    <t xml:space="preserve">Low Sulfur Cat Gasoline </t>
  </si>
  <si>
    <t xml:space="preserve">87648 - Raffinate to Olefins </t>
  </si>
  <si>
    <t xml:space="preserve">08048 - Light Cat Cracked Gasoline </t>
  </si>
  <si>
    <t xml:space="preserve">34203 - Sales Naphtha </t>
  </si>
  <si>
    <t>087648</t>
  </si>
  <si>
    <t xml:space="preserve">Raffinate to Olefins </t>
  </si>
  <si>
    <t xml:space="preserve">00646 - JP8 Turbine Fuel </t>
  </si>
  <si>
    <t>000646</t>
  </si>
  <si>
    <t xml:space="preserve">JP8 Turbine Fuel </t>
  </si>
  <si>
    <t xml:space="preserve">08949 - Natural Gas-Hydro Feed Natural Gas </t>
  </si>
  <si>
    <t xml:space="preserve">41604 - Vaccum Flasher Pitch </t>
  </si>
  <si>
    <t xml:space="preserve">87501 - Normal Butane to OP-II </t>
  </si>
  <si>
    <t xml:space="preserve">87669 - SEL HC Gas Oil to Olefins </t>
  </si>
  <si>
    <t>008949</t>
  </si>
  <si>
    <t>Natural Gas-Hydro Feed Na</t>
  </si>
  <si>
    <t xml:space="preserve">Vaccum Flasher Pitch </t>
  </si>
  <si>
    <t>087501</t>
  </si>
  <si>
    <t xml:space="preserve">Normal Butane to OP-II </t>
  </si>
  <si>
    <t>087669</t>
  </si>
  <si>
    <t>SEL HC Gas Oil to Olefins</t>
  </si>
  <si>
    <t xml:space="preserve">26797 - Summer RBOB - 10% Ethanol </t>
  </si>
  <si>
    <t>026797</t>
  </si>
  <si>
    <t>Summer RBOB - 10% Ethanol</t>
  </si>
  <si>
    <t xml:space="preserve">26647 - BG PUL 90 RVP&gt;7.8 CONV ETHER 0-2.7 </t>
  </si>
  <si>
    <t xml:space="preserve">50029 - Forcados </t>
  </si>
  <si>
    <t xml:space="preserve">87640 - GOHT Bottoms </t>
  </si>
  <si>
    <t>026647</t>
  </si>
  <si>
    <t>BG PUL 90 RVP&gt;7.8 CONV ET</t>
  </si>
  <si>
    <t>050029</t>
  </si>
  <si>
    <t xml:space="preserve">Forcados </t>
  </si>
  <si>
    <t>087640</t>
  </si>
  <si>
    <t xml:space="preserve">GOHT Bottoms </t>
  </si>
  <si>
    <t xml:space="preserve">87591 - Low Sulfur Diesel </t>
  </si>
  <si>
    <t xml:space="preserve">00215 - Cold Lake Blend Crude (Canada) </t>
  </si>
  <si>
    <t xml:space="preserve">00252 - Mars Crude </t>
  </si>
  <si>
    <t>000215</t>
  </si>
  <si>
    <t>Cold Lake Blend Crude (Ca</t>
  </si>
  <si>
    <t>000252</t>
  </si>
  <si>
    <t xml:space="preserve">Mars Crude </t>
  </si>
  <si>
    <t>087591</t>
  </si>
  <si>
    <t xml:space="preserve">00204 - Napo </t>
  </si>
  <si>
    <t xml:space="preserve">00206 - Hoops </t>
  </si>
  <si>
    <t xml:space="preserve">00410 - JET A </t>
  </si>
  <si>
    <t xml:space="preserve">26668 - Winter RBOB - 10% Ethanol </t>
  </si>
  <si>
    <t xml:space="preserve">41055 - BG PUL 91.4 RVP&gt;7.8 CBOB ETOH 3.5-4.0 </t>
  </si>
  <si>
    <t xml:space="preserve">87546 - Phenol Light Ends to CCU Phenol </t>
  </si>
  <si>
    <t>000204</t>
  </si>
  <si>
    <t xml:space="preserve">Napo </t>
  </si>
  <si>
    <t>000206</t>
  </si>
  <si>
    <t xml:space="preserve">Hoops </t>
  </si>
  <si>
    <t>000410</t>
  </si>
  <si>
    <t xml:space="preserve">JET A </t>
  </si>
  <si>
    <t>026668</t>
  </si>
  <si>
    <t>Winter RBOB - 10% Ethanol</t>
  </si>
  <si>
    <t>041055</t>
  </si>
  <si>
    <t xml:space="preserve">BG PUL 91.4 RVP&gt;7.8 CBOB </t>
  </si>
  <si>
    <t>087546</t>
  </si>
  <si>
    <t xml:space="preserve">Phenol Light Ends to CCU </t>
  </si>
  <si>
    <t>Artículo</t>
  </si>
  <si>
    <t>Inv/Inicial</t>
  </si>
  <si>
    <t>Recepción</t>
  </si>
  <si>
    <t>Prod/Cons</t>
  </si>
  <si>
    <t>Embarques</t>
  </si>
  <si>
    <t>Cons.</t>
  </si>
  <si>
    <t>Perd/Gan.</t>
  </si>
  <si>
    <t>Inv/Final</t>
  </si>
  <si>
    <t>&gt;</t>
  </si>
  <si>
    <t xml:space="preserve">Isobutane 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</si>
</sst>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mmmm\ yyyy"/>
    <numFmt numFmtId="165" formatCode="###,###;\(###,###\)"/>
    <numFmt numFmtId="166" formatCode="#,###.##;\(##,###.##\);0.00"/>
    <numFmt numFmtId="167" formatCode="_(* #,##0_);_(* \(#,##0\);_(* &quot;-&quot;??_);_(@_)"/>
    <numFmt numFmtId="168" formatCode="###,###.00;\(###,###.00\)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color indexed="9"/>
      <name val="Tahoma"/>
      <family val="2"/>
    </font>
    <font>
      <b/>
      <sz val="8"/>
      <name val="Verdana"/>
      <family val="2"/>
    </font>
    <font>
      <sz val="8"/>
      <name val="Tahoma"/>
      <family val="2"/>
    </font>
    <font>
      <sz val="16"/>
      <color indexed="9"/>
      <name val="Tahoma"/>
      <family val="2"/>
    </font>
    <font>
      <b/>
      <sz val="10"/>
      <color indexed="10"/>
      <name val="Arial"/>
      <family val="2"/>
    </font>
    <font>
      <sz val="10"/>
      <name val="Arial "/>
    </font>
    <font>
      <sz val="10"/>
      <name val="Arial "/>
      <family val="2"/>
    </font>
    <font>
      <b/>
      <sz val="7"/>
      <color indexed="9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sz val="8"/>
      <color indexed="9"/>
      <name val="Arial"/>
      <family val="2"/>
    </font>
    <font>
      <b/>
      <sz val="8"/>
      <color indexed="11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color indexed="10"/>
      <name val="Arial"/>
      <family val="2"/>
    </font>
    <font>
      <sz val="14"/>
      <color indexed="10"/>
      <name val="Arial 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65"/>
        <bgColor indexed="13"/>
      </patternFill>
    </fill>
    <fill>
      <patternFill patternType="solid">
        <fgColor indexed="22"/>
        <bgColor indexed="9"/>
      </patternFill>
    </fill>
    <fill>
      <patternFill patternType="solid">
        <fgColor indexed="65"/>
        <bgColor indexed="12"/>
      </patternFill>
    </fill>
    <fill>
      <patternFill patternType="solid">
        <fgColor indexed="65"/>
        <bgColor indexed="14"/>
      </patternFill>
    </fill>
    <fill>
      <patternFill patternType="solid">
        <fgColor indexed="65"/>
        <bgColor indexed="11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22"/>
        <bgColor indexed="1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</borders>
  <cellStyleXfs count="19">
    <xf numFmtId="0" fontId="0" fillId="0" borderId="0"/>
    <xf numFmtId="43" fontId="7" fillId="0" borderId="0" applyFont="0" applyFill="0" applyBorder="0" applyAlignment="0" applyProtection="0"/>
    <xf numFmtId="37" fontId="9" fillId="2" borderId="1" applyBorder="0">
      <alignment horizontal="left" vertical="center"/>
    </xf>
    <xf numFmtId="0" fontId="10" fillId="3" borderId="0">
      <alignment horizontal="left"/>
    </xf>
    <xf numFmtId="37" fontId="11" fillId="4" borderId="2" applyBorder="0">
      <alignment horizontal="left"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2" fillId="5" borderId="0">
      <alignment horizontal="left"/>
    </xf>
    <xf numFmtId="0" fontId="33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3">
    <xf numFmtId="0" fontId="0" fillId="0" borderId="0" xfId="0"/>
    <xf numFmtId="0" fontId="8" fillId="0" borderId="3" xfId="10" applyFont="1" applyBorder="1"/>
    <xf numFmtId="43" fontId="8" fillId="6" borderId="3" xfId="1" applyFont="1" applyFill="1" applyBorder="1" applyAlignment="1">
      <alignment horizontal="center"/>
    </xf>
    <xf numFmtId="0" fontId="7" fillId="0" borderId="0" xfId="10"/>
    <xf numFmtId="0" fontId="8" fillId="0" borderId="0" xfId="10" applyFont="1"/>
    <xf numFmtId="49" fontId="7" fillId="0" borderId="0" xfId="10" applyNumberFormat="1"/>
    <xf numFmtId="43" fontId="7" fillId="0" borderId="0" xfId="1"/>
    <xf numFmtId="43" fontId="13" fillId="3" borderId="0" xfId="1" applyFont="1" applyFill="1"/>
    <xf numFmtId="43" fontId="7" fillId="6" borderId="0" xfId="1" applyFill="1"/>
    <xf numFmtId="0" fontId="7" fillId="0" borderId="0" xfId="10" applyFont="1"/>
    <xf numFmtId="0" fontId="0" fillId="0" borderId="0" xfId="0" applyBorder="1" applyAlignment="1"/>
    <xf numFmtId="0" fontId="15" fillId="0" borderId="0" xfId="7" applyFont="1"/>
    <xf numFmtId="0" fontId="21" fillId="7" borderId="4" xfId="7" applyNumberFormat="1" applyFont="1" applyFill="1" applyBorder="1" applyAlignment="1">
      <alignment horizontal="left" vertical="center"/>
    </xf>
    <xf numFmtId="0" fontId="21" fillId="8" borderId="5" xfId="7" applyNumberFormat="1" applyFont="1" applyFill="1" applyBorder="1" applyAlignment="1">
      <alignment horizontal="center" vertical="center"/>
    </xf>
    <xf numFmtId="0" fontId="21" fillId="7" borderId="4" xfId="7" applyNumberFormat="1" applyFont="1" applyFill="1" applyBorder="1" applyAlignment="1">
      <alignment horizontal="right" vertical="center" wrapText="1"/>
    </xf>
    <xf numFmtId="166" fontId="23" fillId="9" borderId="0" xfId="7" applyNumberFormat="1" applyFont="1" applyFill="1" applyBorder="1" applyAlignment="1">
      <alignment horizontal="right" vertical="center"/>
    </xf>
    <xf numFmtId="4" fontId="21" fillId="8" borderId="4" xfId="7" applyNumberFormat="1" applyFont="1" applyFill="1" applyBorder="1" applyAlignment="1">
      <alignment horizontal="right" vertical="center"/>
    </xf>
    <xf numFmtId="0" fontId="21" fillId="7" borderId="4" xfId="7" applyNumberFormat="1" applyFont="1" applyFill="1" applyBorder="1" applyAlignment="1">
      <alignment horizontal="right" vertical="center"/>
    </xf>
    <xf numFmtId="0" fontId="22" fillId="7" borderId="4" xfId="7" applyNumberFormat="1" applyFont="1" applyFill="1" applyBorder="1" applyAlignment="1">
      <alignment vertical="center"/>
    </xf>
    <xf numFmtId="0" fontId="24" fillId="10" borderId="0" xfId="7" applyNumberFormat="1" applyFont="1" applyFill="1" applyBorder="1" applyAlignment="1">
      <alignment vertical="center"/>
    </xf>
    <xf numFmtId="0" fontId="25" fillId="11" borderId="0" xfId="7" applyNumberFormat="1" applyFont="1" applyFill="1" applyBorder="1" applyAlignment="1">
      <alignment vertical="center"/>
    </xf>
    <xf numFmtId="0" fontId="25" fillId="8" borderId="5" xfId="7" applyNumberFormat="1" applyFont="1" applyFill="1" applyBorder="1" applyAlignment="1">
      <alignment vertical="center"/>
    </xf>
    <xf numFmtId="0" fontId="19" fillId="12" borderId="0" xfId="7" applyNumberFormat="1" applyFont="1" applyFill="1" applyBorder="1" applyAlignment="1">
      <alignment vertical="center"/>
    </xf>
    <xf numFmtId="0" fontId="16" fillId="12" borderId="0" xfId="7" applyNumberFormat="1" applyFont="1" applyFill="1" applyBorder="1" applyAlignment="1">
      <alignment vertical="center"/>
    </xf>
    <xf numFmtId="0" fontId="24" fillId="9" borderId="0" xfId="7" applyNumberFormat="1" applyFont="1" applyFill="1" applyBorder="1" applyAlignment="1">
      <alignment vertical="center"/>
    </xf>
    <xf numFmtId="0" fontId="21" fillId="7" borderId="4" xfId="7" applyNumberFormat="1" applyFont="1" applyFill="1" applyBorder="1" applyAlignment="1">
      <alignment horizontal="left" vertical="center" wrapText="1"/>
    </xf>
    <xf numFmtId="0" fontId="23" fillId="9" borderId="0" xfId="7" applyNumberFormat="1" applyFont="1" applyFill="1" applyBorder="1" applyAlignment="1">
      <alignment horizontal="left" vertical="center"/>
    </xf>
    <xf numFmtId="0" fontId="21" fillId="8" borderId="4" xfId="7" applyNumberFormat="1" applyFont="1" applyFill="1" applyBorder="1" applyAlignment="1">
      <alignment horizontal="center" vertical="center"/>
    </xf>
    <xf numFmtId="167" fontId="8" fillId="13" borderId="0" xfId="1" applyNumberFormat="1" applyFont="1" applyFill="1" applyAlignment="1"/>
    <xf numFmtId="167" fontId="7" fillId="0" borderId="0" xfId="1" applyNumberFormat="1"/>
    <xf numFmtId="167" fontId="7" fillId="13" borderId="0" xfId="1" applyNumberFormat="1" applyFill="1" applyAlignment="1"/>
    <xf numFmtId="167" fontId="7" fillId="0" borderId="0" xfId="10" applyNumberFormat="1"/>
    <xf numFmtId="0" fontId="23" fillId="14" borderId="0" xfId="5" applyNumberFormat="1" applyFont="1" applyFill="1" applyBorder="1" applyAlignment="1">
      <alignment horizontal="left" vertical="center"/>
    </xf>
    <xf numFmtId="166" fontId="23" fillId="14" borderId="0" xfId="5" applyNumberFormat="1" applyFont="1" applyFill="1" applyBorder="1" applyAlignment="1">
      <alignment horizontal="right" vertical="center"/>
    </xf>
    <xf numFmtId="0" fontId="23" fillId="14" borderId="0" xfId="0" applyNumberFormat="1" applyFont="1" applyFill="1" applyBorder="1" applyAlignment="1">
      <alignment horizontal="left" vertical="center"/>
    </xf>
    <xf numFmtId="166" fontId="23" fillId="14" borderId="0" xfId="0" applyNumberFormat="1" applyFont="1" applyFill="1" applyBorder="1" applyAlignment="1">
      <alignment horizontal="right" vertical="center"/>
    </xf>
    <xf numFmtId="0" fontId="23" fillId="11" borderId="0" xfId="0" applyNumberFormat="1" applyFont="1" applyFill="1" applyBorder="1" applyAlignment="1">
      <alignment horizontal="left" vertical="center"/>
    </xf>
    <xf numFmtId="165" fontId="23" fillId="11" borderId="0" xfId="0" applyNumberFormat="1" applyFont="1" applyFill="1" applyBorder="1" applyAlignment="1">
      <alignment horizontal="right" vertical="center"/>
    </xf>
    <xf numFmtId="165" fontId="15" fillId="0" borderId="0" xfId="7" applyNumberFormat="1" applyFont="1"/>
    <xf numFmtId="167" fontId="15" fillId="0" borderId="0" xfId="1" applyNumberFormat="1" applyFont="1"/>
    <xf numFmtId="167" fontId="15" fillId="0" borderId="0" xfId="7" applyNumberFormat="1" applyFont="1"/>
    <xf numFmtId="43" fontId="15" fillId="0" borderId="0" xfId="7" applyNumberFormat="1" applyFont="1"/>
    <xf numFmtId="168" fontId="21" fillId="8" borderId="5" xfId="7" applyNumberFormat="1" applyFont="1" applyFill="1" applyBorder="1" applyAlignment="1">
      <alignment horizontal="right" vertical="center"/>
    </xf>
    <xf numFmtId="49" fontId="7" fillId="0" borderId="0" xfId="10" applyNumberFormat="1" applyFill="1"/>
    <xf numFmtId="0" fontId="7" fillId="0" borderId="0" xfId="10" applyFill="1"/>
    <xf numFmtId="43" fontId="7" fillId="0" borderId="0" xfId="10" applyNumberFormat="1"/>
    <xf numFmtId="43" fontId="27" fillId="0" borderId="0" xfId="1" applyFont="1"/>
    <xf numFmtId="0" fontId="23" fillId="14" borderId="0" xfId="6" applyNumberFormat="1" applyFont="1" applyFill="1" applyBorder="1" applyAlignment="1">
      <alignment horizontal="left" vertical="center"/>
    </xf>
    <xf numFmtId="166" fontId="23" fillId="14" borderId="0" xfId="6" applyNumberFormat="1" applyFont="1" applyFill="1" applyBorder="1" applyAlignment="1">
      <alignment horizontal="right" vertical="center"/>
    </xf>
    <xf numFmtId="0" fontId="7" fillId="3" borderId="0" xfId="10" applyNumberFormat="1" applyFill="1" applyAlignment="1"/>
    <xf numFmtId="0" fontId="7" fillId="3" borderId="0" xfId="10" applyFont="1" applyFill="1" applyAlignment="1"/>
    <xf numFmtId="167" fontId="27" fillId="3" borderId="0" xfId="1" applyNumberFormat="1" applyFont="1" applyFill="1" applyAlignment="1"/>
    <xf numFmtId="0" fontId="27" fillId="3" borderId="0" xfId="10" applyNumberFormat="1" applyFont="1" applyFill="1" applyAlignment="1"/>
    <xf numFmtId="0" fontId="27" fillId="3" borderId="0" xfId="10" applyFont="1" applyFill="1" applyAlignment="1"/>
    <xf numFmtId="0" fontId="15" fillId="0" borderId="6" xfId="7" applyFont="1" applyBorder="1"/>
    <xf numFmtId="0" fontId="23" fillId="11" borderId="0" xfId="9" applyNumberFormat="1" applyFont="1" applyFill="1" applyBorder="1" applyAlignment="1">
      <alignment horizontal="left" vertical="center"/>
    </xf>
    <xf numFmtId="165" fontId="23" fillId="11" borderId="0" xfId="9" applyNumberFormat="1" applyFont="1" applyFill="1" applyBorder="1" applyAlignment="1">
      <alignment horizontal="right" vertical="center"/>
    </xf>
    <xf numFmtId="4" fontId="21" fillId="15" borderId="4" xfId="0" applyNumberFormat="1" applyFont="1" applyFill="1" applyBorder="1" applyAlignment="1">
      <alignment horizontal="right" vertical="center"/>
    </xf>
    <xf numFmtId="0" fontId="0" fillId="0" borderId="0" xfId="0" applyFill="1" applyBorder="1"/>
    <xf numFmtId="0" fontId="31" fillId="0" borderId="0" xfId="10" applyFont="1"/>
    <xf numFmtId="43" fontId="31" fillId="0" borderId="0" xfId="10" applyNumberFormat="1" applyFont="1"/>
    <xf numFmtId="43" fontId="31" fillId="0" borderId="0" xfId="1" applyFont="1"/>
    <xf numFmtId="0" fontId="15" fillId="0" borderId="0" xfId="7" applyFont="1" applyBorder="1"/>
    <xf numFmtId="4" fontId="15" fillId="0" borderId="0" xfId="1" applyNumberFormat="1" applyFont="1" applyBorder="1"/>
    <xf numFmtId="0" fontId="23" fillId="0" borderId="0" xfId="10" applyFont="1"/>
    <xf numFmtId="3" fontId="0" fillId="0" borderId="0" xfId="0" applyNumberFormat="1" applyFill="1" applyBorder="1"/>
    <xf numFmtId="0" fontId="5" fillId="0" borderId="0" xfId="14" applyFill="1" applyBorder="1" applyAlignment="1">
      <alignment horizontal="left"/>
    </xf>
    <xf numFmtId="3" fontId="5" fillId="0" borderId="0" xfId="14" applyNumberFormat="1" applyFill="1" applyBorder="1" applyAlignment="1">
      <alignment horizontal="right"/>
    </xf>
    <xf numFmtId="0" fontId="5" fillId="0" borderId="0" xfId="14" applyFill="1" applyBorder="1"/>
    <xf numFmtId="10" fontId="5" fillId="0" borderId="0" xfId="14" applyNumberFormat="1" applyFill="1" applyBorder="1" applyAlignment="1">
      <alignment horizontal="right"/>
    </xf>
    <xf numFmtId="0" fontId="32" fillId="0" borderId="0" xfId="18" applyFont="1" applyAlignment="1">
      <alignment horizontal="center"/>
    </xf>
    <xf numFmtId="0" fontId="1" fillId="0" borderId="0" xfId="18" applyAlignment="1">
      <alignment horizontal="left"/>
    </xf>
    <xf numFmtId="3" fontId="1" fillId="0" borderId="0" xfId="18" applyNumberFormat="1" applyAlignment="1">
      <alignment horizontal="right"/>
    </xf>
    <xf numFmtId="0" fontId="1" fillId="0" borderId="0" xfId="18" applyAlignment="1">
      <alignment horizontal="right"/>
    </xf>
    <xf numFmtId="3" fontId="5" fillId="0" borderId="0" xfId="14" applyNumberFormat="1" applyFill="1" applyBorder="1"/>
    <xf numFmtId="0" fontId="17" fillId="3" borderId="7" xfId="7" applyNumberFormat="1" applyFont="1" applyFill="1" applyBorder="1" applyAlignment="1">
      <alignment horizontal="center" vertical="center"/>
    </xf>
    <xf numFmtId="0" fontId="17" fillId="3" borderId="8" xfId="7" applyNumberFormat="1" applyFont="1" applyFill="1" applyBorder="1" applyAlignment="1">
      <alignment horizontal="center" vertical="center"/>
    </xf>
    <xf numFmtId="0" fontId="17" fillId="3" borderId="9" xfId="7" applyNumberFormat="1" applyFont="1" applyFill="1" applyBorder="1" applyAlignment="1">
      <alignment horizontal="center" vertical="center"/>
    </xf>
    <xf numFmtId="0" fontId="30" fillId="0" borderId="0" xfId="7" applyFont="1" applyAlignment="1">
      <alignment horizontal="center"/>
    </xf>
    <xf numFmtId="0" fontId="18" fillId="12" borderId="0" xfId="8" applyFont="1" applyFill="1" applyBorder="1" applyAlignment="1">
      <alignment horizontal="center" vertical="center"/>
    </xf>
    <xf numFmtId="164" fontId="20" fillId="12" borderId="0" xfId="7" applyNumberFormat="1" applyFont="1" applyFill="1" applyBorder="1" applyAlignment="1">
      <alignment horizontal="center" vertical="center"/>
    </xf>
    <xf numFmtId="0" fontId="15" fillId="0" borderId="0" xfId="7" applyFont="1" applyAlignment="1">
      <alignment horizontal="center"/>
    </xf>
    <xf numFmtId="0" fontId="15" fillId="0" borderId="10" xfId="7" applyFont="1" applyBorder="1" applyAlignment="1">
      <alignment horizontal="center"/>
    </xf>
    <xf numFmtId="0" fontId="26" fillId="3" borderId="11" xfId="7" applyNumberFormat="1" applyFont="1" applyFill="1" applyBorder="1" applyAlignment="1">
      <alignment horizontal="center" vertical="center"/>
    </xf>
    <xf numFmtId="0" fontId="26" fillId="3" borderId="12" xfId="7" applyNumberFormat="1" applyFont="1" applyFill="1" applyBorder="1" applyAlignment="1">
      <alignment horizontal="center" vertical="center"/>
    </xf>
    <xf numFmtId="164" fontId="20" fillId="12" borderId="13" xfId="7" applyNumberFormat="1" applyFont="1" applyFill="1" applyBorder="1" applyAlignment="1">
      <alignment horizontal="center" vertical="center"/>
    </xf>
    <xf numFmtId="0" fontId="29" fillId="12" borderId="0" xfId="7" applyNumberFormat="1" applyFont="1" applyFill="1" applyBorder="1" applyAlignment="1">
      <alignment horizontal="center" vertical="center"/>
    </xf>
    <xf numFmtId="0" fontId="28" fillId="12" borderId="0" xfId="7" applyNumberFormat="1" applyFont="1" applyFill="1" applyBorder="1" applyAlignment="1">
      <alignment horizontal="center" vertical="center"/>
    </xf>
    <xf numFmtId="0" fontId="15" fillId="0" borderId="14" xfId="7" applyFont="1" applyBorder="1" applyAlignment="1">
      <alignment horizontal="center"/>
    </xf>
    <xf numFmtId="43" fontId="8" fillId="0" borderId="3" xfId="1" applyFont="1" applyBorder="1" applyAlignment="1">
      <alignment horizontal="center"/>
    </xf>
    <xf numFmtId="4" fontId="0" fillId="0" borderId="0" xfId="0" applyNumberFormat="1"/>
    <xf numFmtId="43" fontId="0" fillId="0" borderId="0" xfId="1" applyFont="1"/>
    <xf numFmtId="43" fontId="0" fillId="0" borderId="0" xfId="0" applyNumberFormat="1"/>
  </cellXfs>
  <cellStyles count="19">
    <cellStyle name="Comma" xfId="1" builtinId="3"/>
    <cellStyle name="header" xfId="2"/>
    <cellStyle name="NonPrint_Hyperlink" xfId="3"/>
    <cellStyle name="Normal" xfId="0" builtinId="0"/>
    <cellStyle name="Normal 2" xfId="4"/>
    <cellStyle name="Normal 3" xfId="13"/>
    <cellStyle name="Normal 4" xfId="12"/>
    <cellStyle name="Normal 5" xfId="14"/>
    <cellStyle name="Normal 6" xfId="15"/>
    <cellStyle name="Normal 7" xfId="16"/>
    <cellStyle name="Normal 8" xfId="17"/>
    <cellStyle name="Normal 9" xfId="18"/>
    <cellStyle name="Normal_04.06 Sales Purch Validation Reports" xfId="5"/>
    <cellStyle name="Normal_P-3" xfId="6"/>
    <cellStyle name="Normal_PMI February 06 Final Reports" xfId="7"/>
    <cellStyle name="Normal_PMI September 05 Final Reports" xfId="8"/>
    <cellStyle name="Normal_S-3" xfId="9"/>
    <cellStyle name="Normal_SHARE Ledger 6_30_05" xfId="10"/>
    <cellStyle name="Product Title" xfId="1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FFFF00"/>
      <rgbColor rgb="00C0C0C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ericas\Oil%20Products\SDPR%20Deer%20Park\Department\Financial\Hydrocarbon%20Billing\Processing%20Fee\Margin%20Reports\2005\Nov%2005\2005_11%20GM%20Fina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sults"/>
      <sheetName val="Results (2)"/>
      <sheetName val="Results (3)"/>
      <sheetName val="Summary"/>
      <sheetName val="GM DETAIL"/>
      <sheetName val="GM DETAIL (2)"/>
      <sheetName val="GM DETAIL (3)"/>
      <sheetName val="GM DETAIL MVA"/>
      <sheetName val="Month End Estimate"/>
      <sheetName val="Fees &amp; Expenses"/>
      <sheetName val="Inv Chg"/>
      <sheetName val="Ref Mat Bal"/>
      <sheetName val="Ref Plan"/>
      <sheetName val="Op Plan"/>
      <sheetName val="PPA"/>
      <sheetName val="Buy Sells"/>
      <sheetName val="Ratable Price List"/>
      <sheetName val="Share Ledger"/>
      <sheetName val="Hierarchy"/>
      <sheetName val="GM"/>
      <sheetName val="Ratable Price for Est"/>
      <sheetName val="Share for Est"/>
    </sheetNames>
    <sheetDataSet>
      <sheetData sheetId="0">
        <row r="3">
          <cell r="A3">
            <v>38657</v>
          </cell>
          <cell r="D3">
            <v>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U113"/>
  <sheetViews>
    <sheetView zoomScale="80" workbookViewId="0">
      <pane xSplit="1" ySplit="1" topLeftCell="C2" activePane="bottomRight" state="frozen"/>
      <selection pane="topRight" activeCell="D1" sqref="D1"/>
      <selection pane="bottomLeft" activeCell="A2" sqref="A2"/>
      <selection pane="bottomRight" activeCell="N23" sqref="N23"/>
    </sheetView>
  </sheetViews>
  <sheetFormatPr defaultRowHeight="12.75"/>
  <cols>
    <col min="1" max="1" width="31.7109375" customWidth="1"/>
    <col min="2" max="2" width="13.85546875" customWidth="1"/>
    <col min="3" max="3" width="17.5703125" customWidth="1"/>
    <col min="4" max="5" width="13.7109375" customWidth="1"/>
    <col min="6" max="6" width="10" bestFit="1" customWidth="1"/>
    <col min="7" max="7" width="10.28515625" bestFit="1" customWidth="1"/>
    <col min="8" max="8" width="9.85546875" bestFit="1" customWidth="1"/>
    <col min="12" max="13" width="16.140625" bestFit="1" customWidth="1"/>
    <col min="14" max="14" width="16.42578125" bestFit="1" customWidth="1"/>
    <col min="15" max="15" width="16.140625" bestFit="1" customWidth="1"/>
    <col min="16" max="16" width="14.140625" bestFit="1" customWidth="1"/>
    <col min="17" max="17" width="13.85546875" bestFit="1" customWidth="1"/>
    <col min="18" max="18" width="15.85546875" bestFit="1" customWidth="1"/>
  </cols>
  <sheetData>
    <row r="1" spans="1:21" ht="15">
      <c r="A1" s="70" t="s">
        <v>3</v>
      </c>
      <c r="B1" s="70" t="s">
        <v>4</v>
      </c>
      <c r="C1" s="70" t="s">
        <v>5</v>
      </c>
      <c r="D1" s="70" t="s">
        <v>6</v>
      </c>
      <c r="E1" s="70" t="s">
        <v>7</v>
      </c>
      <c r="F1" s="70" t="s">
        <v>8</v>
      </c>
      <c r="G1" s="70" t="s">
        <v>9</v>
      </c>
      <c r="H1" s="70" t="s">
        <v>10</v>
      </c>
      <c r="J1" s="10"/>
      <c r="K1" s="10" t="str">
        <f>MID(A1,9,25)</f>
        <v/>
      </c>
      <c r="L1" s="70" t="s">
        <v>4</v>
      </c>
      <c r="M1" s="70" t="s">
        <v>5</v>
      </c>
      <c r="N1" s="70" t="s">
        <v>6</v>
      </c>
      <c r="O1" s="70" t="s">
        <v>7</v>
      </c>
      <c r="P1" s="70" t="s">
        <v>8</v>
      </c>
      <c r="Q1" s="70" t="s">
        <v>9</v>
      </c>
      <c r="R1" s="70" t="s">
        <v>10</v>
      </c>
      <c r="T1" s="10"/>
      <c r="U1" s="10" t="str">
        <f>MID(K1,9,25)</f>
        <v/>
      </c>
    </row>
    <row r="2" spans="1:21" ht="15">
      <c r="A2" s="71" t="s">
        <v>227</v>
      </c>
      <c r="B2" s="72">
        <v>5431</v>
      </c>
      <c r="C2" s="73"/>
      <c r="D2" s="72">
        <v>-3788</v>
      </c>
      <c r="E2" s="73"/>
      <c r="F2" s="73"/>
      <c r="G2" s="73"/>
      <c r="H2" s="72">
        <v>1644</v>
      </c>
      <c r="J2" s="10" t="str">
        <f t="shared" ref="J2:J61" si="0">CONCATENATE(0,LEFT(A2,5))</f>
        <v>000110</v>
      </c>
      <c r="K2" s="10" t="str">
        <f t="shared" ref="K2:K61" si="1">MID(A2,9,25)</f>
        <v xml:space="preserve">Ballast Water </v>
      </c>
      <c r="L2" s="91">
        <f>ROUND(B2/2,2)</f>
        <v>2715.5</v>
      </c>
      <c r="M2" s="91">
        <f t="shared" ref="M2:R17" si="2">ROUND(C2/2,2)</f>
        <v>0</v>
      </c>
      <c r="N2" s="91">
        <f t="shared" si="2"/>
        <v>-1894</v>
      </c>
      <c r="O2" s="91">
        <f t="shared" si="2"/>
        <v>0</v>
      </c>
      <c r="P2" s="91">
        <f t="shared" si="2"/>
        <v>0</v>
      </c>
      <c r="Q2" s="91">
        <f t="shared" si="2"/>
        <v>0</v>
      </c>
      <c r="R2" s="91">
        <f t="shared" si="2"/>
        <v>822</v>
      </c>
      <c r="T2" s="10" t="str">
        <f t="shared" ref="T2:T65" si="3">CONCATENATE(0,LEFT(K2,5))</f>
        <v>0Balla</v>
      </c>
      <c r="U2" s="10" t="str">
        <f t="shared" ref="U2:U65" si="4">MID(K2,9,25)</f>
        <v xml:space="preserve">Water </v>
      </c>
    </row>
    <row r="3" spans="1:21" ht="15">
      <c r="A3" s="71" t="s">
        <v>11</v>
      </c>
      <c r="B3" s="72">
        <v>2061</v>
      </c>
      <c r="C3" s="72"/>
      <c r="D3" s="72">
        <v>-1</v>
      </c>
      <c r="E3" s="73"/>
      <c r="F3" s="73"/>
      <c r="G3" s="73"/>
      <c r="H3" s="72">
        <v>2060</v>
      </c>
      <c r="J3" s="10" t="str">
        <f t="shared" si="0"/>
        <v>000130</v>
      </c>
      <c r="K3" s="10" t="str">
        <f t="shared" si="1"/>
        <v xml:space="preserve">JP-5 ANTIICANT </v>
      </c>
      <c r="L3" s="91">
        <f t="shared" ref="L3:R52" si="5">ROUND(B3/2,2)</f>
        <v>1030.5</v>
      </c>
      <c r="M3" s="91">
        <f t="shared" si="2"/>
        <v>0</v>
      </c>
      <c r="N3" s="91">
        <f t="shared" si="2"/>
        <v>-0.5</v>
      </c>
      <c r="O3" s="91">
        <f t="shared" si="2"/>
        <v>0</v>
      </c>
      <c r="P3" s="91">
        <f t="shared" si="2"/>
        <v>0</v>
      </c>
      <c r="Q3" s="91">
        <f t="shared" si="2"/>
        <v>0</v>
      </c>
      <c r="R3" s="91">
        <f t="shared" si="2"/>
        <v>1030</v>
      </c>
      <c r="T3" s="10" t="str">
        <f t="shared" si="3"/>
        <v xml:space="preserve">0JP-5 </v>
      </c>
      <c r="U3" s="10" t="str">
        <f t="shared" si="4"/>
        <v xml:space="preserve">IICANT </v>
      </c>
    </row>
    <row r="4" spans="1:21" ht="15">
      <c r="A4" s="71" t="s">
        <v>282</v>
      </c>
      <c r="B4" s="72"/>
      <c r="C4" s="72">
        <v>325074</v>
      </c>
      <c r="D4" s="72">
        <v>-325074</v>
      </c>
      <c r="E4" s="73"/>
      <c r="F4" s="73"/>
      <c r="G4" s="73"/>
      <c r="H4" s="72"/>
      <c r="J4" s="10" t="str">
        <f t="shared" si="0"/>
        <v>000204</v>
      </c>
      <c r="K4" s="10" t="str">
        <f t="shared" si="1"/>
        <v xml:space="preserve">Napo </v>
      </c>
      <c r="L4" s="91">
        <f t="shared" si="5"/>
        <v>0</v>
      </c>
      <c r="M4" s="91">
        <f t="shared" si="2"/>
        <v>162537</v>
      </c>
      <c r="N4" s="91">
        <f t="shared" si="2"/>
        <v>-162537</v>
      </c>
      <c r="O4" s="91">
        <f t="shared" si="2"/>
        <v>0</v>
      </c>
      <c r="P4" s="91">
        <f t="shared" si="2"/>
        <v>0</v>
      </c>
      <c r="Q4" s="91">
        <f t="shared" si="2"/>
        <v>0</v>
      </c>
      <c r="R4" s="91">
        <f t="shared" si="2"/>
        <v>0</v>
      </c>
      <c r="T4" s="10" t="str">
        <f t="shared" si="3"/>
        <v xml:space="preserve">0Napo </v>
      </c>
      <c r="U4" s="10" t="str">
        <f t="shared" si="4"/>
        <v/>
      </c>
    </row>
    <row r="5" spans="1:21" ht="15">
      <c r="A5" s="71" t="s">
        <v>283</v>
      </c>
      <c r="B5" s="72"/>
      <c r="C5" s="72">
        <v>199292</v>
      </c>
      <c r="D5" s="72">
        <v>-173752</v>
      </c>
      <c r="E5" s="73"/>
      <c r="F5" s="73"/>
      <c r="G5" s="73"/>
      <c r="H5" s="72">
        <v>25539</v>
      </c>
      <c r="J5" s="10" t="str">
        <f t="shared" si="0"/>
        <v>000206</v>
      </c>
      <c r="K5" s="10" t="str">
        <f t="shared" si="1"/>
        <v xml:space="preserve">Hoops </v>
      </c>
      <c r="L5" s="91">
        <f t="shared" si="5"/>
        <v>0</v>
      </c>
      <c r="M5" s="91">
        <f t="shared" si="2"/>
        <v>99646</v>
      </c>
      <c r="N5" s="91">
        <f t="shared" si="2"/>
        <v>-86876</v>
      </c>
      <c r="O5" s="91">
        <f t="shared" si="2"/>
        <v>0</v>
      </c>
      <c r="P5" s="91">
        <f t="shared" si="2"/>
        <v>0</v>
      </c>
      <c r="Q5" s="91">
        <f t="shared" si="2"/>
        <v>0</v>
      </c>
      <c r="R5" s="91">
        <f t="shared" si="2"/>
        <v>12769.5</v>
      </c>
      <c r="T5" s="10" t="str">
        <f t="shared" si="3"/>
        <v>0Hoops</v>
      </c>
      <c r="U5" s="10" t="str">
        <f t="shared" si="4"/>
        <v/>
      </c>
    </row>
    <row r="6" spans="1:21" ht="15">
      <c r="A6" s="71" t="s">
        <v>275</v>
      </c>
      <c r="B6" s="72">
        <v>115840</v>
      </c>
      <c r="C6" s="72">
        <v>119656</v>
      </c>
      <c r="D6" s="72">
        <v>-97251</v>
      </c>
      <c r="E6" s="73"/>
      <c r="F6" s="72"/>
      <c r="G6" s="73"/>
      <c r="H6" s="72">
        <v>138245</v>
      </c>
      <c r="J6" s="10" t="str">
        <f t="shared" si="0"/>
        <v>000215</v>
      </c>
      <c r="K6" s="10" t="str">
        <f t="shared" si="1"/>
        <v>Cold Lake Blend Crude (Ca</v>
      </c>
      <c r="L6" s="91">
        <f t="shared" si="5"/>
        <v>57920</v>
      </c>
      <c r="M6" s="91">
        <f t="shared" si="2"/>
        <v>59828</v>
      </c>
      <c r="N6" s="91">
        <f t="shared" si="2"/>
        <v>-48625.5</v>
      </c>
      <c r="O6" s="91">
        <f t="shared" si="2"/>
        <v>0</v>
      </c>
      <c r="P6" s="91">
        <f t="shared" si="2"/>
        <v>0</v>
      </c>
      <c r="Q6" s="91">
        <f t="shared" si="2"/>
        <v>0</v>
      </c>
      <c r="R6" s="91">
        <f t="shared" si="2"/>
        <v>69122.5</v>
      </c>
      <c r="T6" s="10" t="str">
        <f t="shared" si="3"/>
        <v xml:space="preserve">0Cold </v>
      </c>
      <c r="U6" s="10" t="str">
        <f t="shared" si="4"/>
        <v>e Blend Crude (Ca</v>
      </c>
    </row>
    <row r="7" spans="1:21" ht="15">
      <c r="A7" s="71" t="s">
        <v>276</v>
      </c>
      <c r="B7" s="72">
        <v>178261</v>
      </c>
      <c r="C7" s="72">
        <v>-154</v>
      </c>
      <c r="D7" s="72">
        <v>-178107</v>
      </c>
      <c r="E7" s="72"/>
      <c r="F7" s="73"/>
      <c r="G7" s="73"/>
      <c r="H7" s="72"/>
      <c r="J7" s="10" t="str">
        <f t="shared" si="0"/>
        <v>000252</v>
      </c>
      <c r="K7" s="10" t="str">
        <f t="shared" si="1"/>
        <v xml:space="preserve">Mars Crude </v>
      </c>
      <c r="L7" s="91">
        <f t="shared" si="5"/>
        <v>89130.5</v>
      </c>
      <c r="M7" s="91">
        <f t="shared" si="2"/>
        <v>-77</v>
      </c>
      <c r="N7" s="91">
        <f t="shared" si="2"/>
        <v>-89053.5</v>
      </c>
      <c r="O7" s="91">
        <f t="shared" si="2"/>
        <v>0</v>
      </c>
      <c r="P7" s="91">
        <f t="shared" si="2"/>
        <v>0</v>
      </c>
      <c r="Q7" s="91">
        <f t="shared" si="2"/>
        <v>0</v>
      </c>
      <c r="R7" s="91">
        <f t="shared" si="2"/>
        <v>0</v>
      </c>
      <c r="T7" s="10" t="str">
        <f t="shared" si="3"/>
        <v xml:space="preserve">0Mars </v>
      </c>
      <c r="U7" s="10" t="str">
        <f t="shared" si="4"/>
        <v xml:space="preserve">de </v>
      </c>
    </row>
    <row r="8" spans="1:21" ht="15">
      <c r="A8" s="71" t="s">
        <v>105</v>
      </c>
      <c r="B8" s="72">
        <v>1531533</v>
      </c>
      <c r="C8" s="72">
        <v>6909043</v>
      </c>
      <c r="D8" s="72">
        <v>-6882732</v>
      </c>
      <c r="E8" s="73"/>
      <c r="F8" s="72">
        <v>3156</v>
      </c>
      <c r="G8" s="73"/>
      <c r="H8" s="72">
        <v>1554688</v>
      </c>
      <c r="J8" s="10" t="str">
        <f t="shared" si="0"/>
        <v>000280</v>
      </c>
      <c r="K8" s="10" t="str">
        <f t="shared" si="1"/>
        <v xml:space="preserve">Maya </v>
      </c>
      <c r="L8" s="91">
        <f t="shared" si="5"/>
        <v>765766.5</v>
      </c>
      <c r="M8" s="91">
        <f t="shared" si="2"/>
        <v>3454521.5</v>
      </c>
      <c r="N8" s="91">
        <f t="shared" si="2"/>
        <v>-3441366</v>
      </c>
      <c r="O8" s="91">
        <f t="shared" si="2"/>
        <v>0</v>
      </c>
      <c r="P8" s="91">
        <f t="shared" si="2"/>
        <v>1578</v>
      </c>
      <c r="Q8" s="91">
        <f t="shared" si="2"/>
        <v>0</v>
      </c>
      <c r="R8" s="91">
        <f t="shared" si="2"/>
        <v>777344</v>
      </c>
      <c r="T8" s="10" t="str">
        <f t="shared" si="3"/>
        <v xml:space="preserve">0Maya </v>
      </c>
      <c r="U8" s="10" t="str">
        <f t="shared" si="4"/>
        <v/>
      </c>
    </row>
    <row r="9" spans="1:21" ht="15">
      <c r="A9" s="71" t="s">
        <v>106</v>
      </c>
      <c r="B9" s="72">
        <v>14994</v>
      </c>
      <c r="C9" s="72"/>
      <c r="D9" s="72">
        <v>132501</v>
      </c>
      <c r="E9" s="72">
        <v>99637</v>
      </c>
      <c r="F9" s="72">
        <v>256</v>
      </c>
      <c r="G9" s="73"/>
      <c r="H9" s="72">
        <v>47601</v>
      </c>
      <c r="J9" s="10" t="str">
        <f t="shared" si="0"/>
        <v>000306</v>
      </c>
      <c r="K9" s="10" t="str">
        <f t="shared" si="1"/>
        <v>Toluene for gasoline blen</v>
      </c>
      <c r="L9" s="91">
        <f t="shared" si="5"/>
        <v>7497</v>
      </c>
      <c r="M9" s="91">
        <f t="shared" si="2"/>
        <v>0</v>
      </c>
      <c r="N9" s="91">
        <f t="shared" si="2"/>
        <v>66250.5</v>
      </c>
      <c r="O9" s="91">
        <f t="shared" si="2"/>
        <v>49818.5</v>
      </c>
      <c r="P9" s="91">
        <f t="shared" si="2"/>
        <v>128</v>
      </c>
      <c r="Q9" s="91">
        <f t="shared" si="2"/>
        <v>0</v>
      </c>
      <c r="R9" s="91">
        <f t="shared" si="2"/>
        <v>23800.5</v>
      </c>
      <c r="T9" s="10" t="str">
        <f t="shared" si="3"/>
        <v>0Tolue</v>
      </c>
      <c r="U9" s="10" t="str">
        <f t="shared" si="4"/>
        <v>for gasoline blen</v>
      </c>
    </row>
    <row r="10" spans="1:21" ht="15">
      <c r="A10" s="71" t="s">
        <v>12</v>
      </c>
      <c r="B10" s="72">
        <v>700</v>
      </c>
      <c r="C10" s="73"/>
      <c r="D10" s="72"/>
      <c r="E10" s="72"/>
      <c r="F10" s="73"/>
      <c r="G10" s="73"/>
      <c r="H10" s="72">
        <v>700</v>
      </c>
      <c r="J10" s="10" t="str">
        <f t="shared" si="0"/>
        <v>000319</v>
      </c>
      <c r="K10" s="10" t="str">
        <f t="shared" si="1"/>
        <v xml:space="preserve">PUL 93 RVP 7/8# </v>
      </c>
      <c r="L10" s="91">
        <f t="shared" si="5"/>
        <v>350</v>
      </c>
      <c r="M10" s="91">
        <f t="shared" si="2"/>
        <v>0</v>
      </c>
      <c r="N10" s="91">
        <f t="shared" si="2"/>
        <v>0</v>
      </c>
      <c r="O10" s="91">
        <f t="shared" si="2"/>
        <v>0</v>
      </c>
      <c r="P10" s="91">
        <f t="shared" si="2"/>
        <v>0</v>
      </c>
      <c r="Q10" s="91">
        <f t="shared" si="2"/>
        <v>0</v>
      </c>
      <c r="R10" s="91">
        <f t="shared" si="2"/>
        <v>350</v>
      </c>
      <c r="T10" s="10" t="str">
        <f t="shared" si="3"/>
        <v>0PUL 9</v>
      </c>
      <c r="U10" s="10" t="str">
        <f t="shared" si="4"/>
        <v xml:space="preserve">VP 7/8# </v>
      </c>
    </row>
    <row r="11" spans="1:21" ht="15">
      <c r="A11" s="71" t="s">
        <v>13</v>
      </c>
      <c r="B11" s="72">
        <v>57340</v>
      </c>
      <c r="C11" s="72">
        <v>175000</v>
      </c>
      <c r="D11" s="72">
        <v>1168033</v>
      </c>
      <c r="E11" s="72">
        <v>1128300</v>
      </c>
      <c r="F11" s="72">
        <v>1910</v>
      </c>
      <c r="G11" s="73"/>
      <c r="H11" s="72">
        <v>270162</v>
      </c>
      <c r="J11" s="10" t="str">
        <f t="shared" si="0"/>
        <v>000351</v>
      </c>
      <c r="K11" s="10" t="str">
        <f t="shared" si="1"/>
        <v xml:space="preserve">RUL87 RVP 9.0 </v>
      </c>
      <c r="L11" s="91">
        <f t="shared" si="5"/>
        <v>28670</v>
      </c>
      <c r="M11" s="91">
        <f t="shared" si="2"/>
        <v>87500</v>
      </c>
      <c r="N11" s="91">
        <f t="shared" si="2"/>
        <v>584016.5</v>
      </c>
      <c r="O11" s="91">
        <f t="shared" si="2"/>
        <v>564150</v>
      </c>
      <c r="P11" s="91">
        <f t="shared" si="2"/>
        <v>955</v>
      </c>
      <c r="Q11" s="91">
        <f t="shared" si="2"/>
        <v>0</v>
      </c>
      <c r="R11" s="91">
        <f t="shared" si="2"/>
        <v>135081</v>
      </c>
      <c r="T11" s="10" t="str">
        <f t="shared" si="3"/>
        <v>0RUL87</v>
      </c>
      <c r="U11" s="10" t="str">
        <f t="shared" si="4"/>
        <v xml:space="preserve">P 9.0 </v>
      </c>
    </row>
    <row r="12" spans="1:21" ht="15">
      <c r="A12" s="71" t="s">
        <v>14</v>
      </c>
      <c r="B12" s="72">
        <v>77</v>
      </c>
      <c r="C12" s="72"/>
      <c r="D12" s="72"/>
      <c r="E12" s="72"/>
      <c r="F12" s="73"/>
      <c r="G12" s="73"/>
      <c r="H12" s="72">
        <v>77</v>
      </c>
      <c r="J12" s="10" t="str">
        <f t="shared" si="0"/>
        <v>000402</v>
      </c>
      <c r="K12" s="10" t="str">
        <f t="shared" si="1"/>
        <v xml:space="preserve">JP-8 ANTIICANT </v>
      </c>
      <c r="L12" s="91">
        <f t="shared" si="5"/>
        <v>38.5</v>
      </c>
      <c r="M12" s="91">
        <f t="shared" si="2"/>
        <v>0</v>
      </c>
      <c r="N12" s="91">
        <f t="shared" si="2"/>
        <v>0</v>
      </c>
      <c r="O12" s="91">
        <f t="shared" si="2"/>
        <v>0</v>
      </c>
      <c r="P12" s="91">
        <f t="shared" si="2"/>
        <v>0</v>
      </c>
      <c r="Q12" s="91">
        <f t="shared" si="2"/>
        <v>0</v>
      </c>
      <c r="R12" s="91">
        <f t="shared" si="2"/>
        <v>38.5</v>
      </c>
      <c r="T12" s="10" t="str">
        <f t="shared" si="3"/>
        <v xml:space="preserve">0JP-8 </v>
      </c>
      <c r="U12" s="10" t="str">
        <f t="shared" si="4"/>
        <v xml:space="preserve">IICANT </v>
      </c>
    </row>
    <row r="13" spans="1:21" ht="15">
      <c r="A13" s="71" t="s">
        <v>284</v>
      </c>
      <c r="B13" s="72"/>
      <c r="C13" s="72">
        <v>258562</v>
      </c>
      <c r="D13" s="72">
        <v>-155182</v>
      </c>
      <c r="E13" s="72">
        <v>103380</v>
      </c>
      <c r="F13" s="73"/>
      <c r="G13" s="73"/>
      <c r="H13" s="72"/>
      <c r="J13" s="10" t="str">
        <f t="shared" si="0"/>
        <v>000410</v>
      </c>
      <c r="K13" s="10" t="str">
        <f t="shared" si="1"/>
        <v xml:space="preserve">JET A </v>
      </c>
      <c r="L13" s="91">
        <f t="shared" si="5"/>
        <v>0</v>
      </c>
      <c r="M13" s="91">
        <f t="shared" si="2"/>
        <v>129281</v>
      </c>
      <c r="N13" s="91">
        <f t="shared" si="2"/>
        <v>-77591</v>
      </c>
      <c r="O13" s="91">
        <f t="shared" si="2"/>
        <v>51690</v>
      </c>
      <c r="P13" s="91">
        <f t="shared" si="2"/>
        <v>0</v>
      </c>
      <c r="Q13" s="91">
        <f t="shared" si="2"/>
        <v>0</v>
      </c>
      <c r="R13" s="91">
        <f t="shared" si="2"/>
        <v>0</v>
      </c>
      <c r="T13" s="10" t="str">
        <f t="shared" si="3"/>
        <v>0JET A</v>
      </c>
      <c r="U13" s="10" t="str">
        <f t="shared" si="4"/>
        <v/>
      </c>
    </row>
    <row r="14" spans="1:21" ht="15">
      <c r="A14" s="71" t="s">
        <v>107</v>
      </c>
      <c r="B14" s="72"/>
      <c r="C14" s="72"/>
      <c r="D14" s="72">
        <v>39621</v>
      </c>
      <c r="E14" s="72">
        <v>39621</v>
      </c>
      <c r="F14" s="73"/>
      <c r="G14" s="73"/>
      <c r="H14" s="72"/>
      <c r="J14" s="10" t="str">
        <f t="shared" si="0"/>
        <v>000429</v>
      </c>
      <c r="K14" s="10" t="str">
        <f t="shared" si="1"/>
        <v xml:space="preserve">Low Sulfur Diesel </v>
      </c>
      <c r="L14" s="91">
        <f t="shared" si="5"/>
        <v>0</v>
      </c>
      <c r="M14" s="91">
        <f t="shared" si="2"/>
        <v>0</v>
      </c>
      <c r="N14" s="91">
        <f t="shared" si="2"/>
        <v>19810.5</v>
      </c>
      <c r="O14" s="91">
        <f t="shared" si="2"/>
        <v>19810.5</v>
      </c>
      <c r="P14" s="91">
        <f t="shared" si="2"/>
        <v>0</v>
      </c>
      <c r="Q14" s="91">
        <f t="shared" si="2"/>
        <v>0</v>
      </c>
      <c r="R14" s="91">
        <f t="shared" si="2"/>
        <v>0</v>
      </c>
      <c r="T14" s="10" t="str">
        <f t="shared" si="3"/>
        <v>0Low S</v>
      </c>
      <c r="U14" s="10" t="str">
        <f t="shared" si="4"/>
        <v xml:space="preserve">ur Diesel </v>
      </c>
    </row>
    <row r="15" spans="1:21" ht="15">
      <c r="A15" s="71" t="s">
        <v>248</v>
      </c>
      <c r="B15" s="72"/>
      <c r="C15" s="72"/>
      <c r="D15" s="72">
        <v>397352</v>
      </c>
      <c r="E15" s="72">
        <v>295368</v>
      </c>
      <c r="F15" s="73">
        <v>230</v>
      </c>
      <c r="G15" s="73"/>
      <c r="H15" s="72">
        <v>101754</v>
      </c>
      <c r="J15" s="10" t="str">
        <f t="shared" si="0"/>
        <v>000646</v>
      </c>
      <c r="K15" s="10" t="str">
        <f t="shared" si="1"/>
        <v xml:space="preserve">JP8 Turbine Fuel </v>
      </c>
      <c r="L15" s="91">
        <f t="shared" si="5"/>
        <v>0</v>
      </c>
      <c r="M15" s="91">
        <f t="shared" si="2"/>
        <v>0</v>
      </c>
      <c r="N15" s="91">
        <f t="shared" si="2"/>
        <v>198676</v>
      </c>
      <c r="O15" s="91">
        <f t="shared" si="2"/>
        <v>147684</v>
      </c>
      <c r="P15" s="91">
        <f t="shared" si="2"/>
        <v>115</v>
      </c>
      <c r="Q15" s="91">
        <f t="shared" si="2"/>
        <v>0</v>
      </c>
      <c r="R15" s="91">
        <f t="shared" si="2"/>
        <v>50877</v>
      </c>
      <c r="T15" s="10" t="str">
        <f t="shared" si="3"/>
        <v>0JP8 T</v>
      </c>
      <c r="U15" s="10" t="str">
        <f t="shared" si="4"/>
        <v xml:space="preserve">ine Fuel </v>
      </c>
    </row>
    <row r="16" spans="1:21" ht="15">
      <c r="A16" s="71" t="s">
        <v>108</v>
      </c>
      <c r="B16" s="72">
        <v>39364</v>
      </c>
      <c r="C16" s="73"/>
      <c r="D16" s="72">
        <v>1584</v>
      </c>
      <c r="E16" s="72"/>
      <c r="F16" s="73"/>
      <c r="G16" s="73"/>
      <c r="H16" s="72">
        <v>40948</v>
      </c>
      <c r="J16" s="10" t="str">
        <f t="shared" si="0"/>
        <v>000804</v>
      </c>
      <c r="K16" s="10" t="str">
        <f t="shared" si="1"/>
        <v xml:space="preserve">Slop Oil </v>
      </c>
      <c r="L16" s="91">
        <f t="shared" si="5"/>
        <v>19682</v>
      </c>
      <c r="M16" s="91">
        <f t="shared" si="2"/>
        <v>0</v>
      </c>
      <c r="N16" s="91">
        <f t="shared" si="2"/>
        <v>792</v>
      </c>
      <c r="O16" s="91">
        <f t="shared" si="2"/>
        <v>0</v>
      </c>
      <c r="P16" s="91">
        <f t="shared" si="2"/>
        <v>0</v>
      </c>
      <c r="Q16" s="91">
        <f t="shared" si="2"/>
        <v>0</v>
      </c>
      <c r="R16" s="91">
        <f t="shared" si="2"/>
        <v>20474</v>
      </c>
      <c r="T16" s="10" t="str">
        <f t="shared" si="3"/>
        <v xml:space="preserve">0Slop </v>
      </c>
      <c r="U16" s="10" t="str">
        <f t="shared" si="4"/>
        <v xml:space="preserve"> </v>
      </c>
    </row>
    <row r="17" spans="1:21" ht="15">
      <c r="A17" s="71" t="s">
        <v>15</v>
      </c>
      <c r="B17" s="72"/>
      <c r="C17" s="72">
        <v>79544</v>
      </c>
      <c r="D17" s="72">
        <v>-79544</v>
      </c>
      <c r="E17" s="73"/>
      <c r="F17" s="73"/>
      <c r="G17" s="73"/>
      <c r="H17" s="72"/>
      <c r="J17" s="10" t="str">
        <f t="shared" si="0"/>
        <v>000863</v>
      </c>
      <c r="K17" s="10" t="str">
        <f t="shared" si="1"/>
        <v xml:space="preserve">Purchased Hydrogen </v>
      </c>
      <c r="L17" s="91">
        <f t="shared" si="5"/>
        <v>0</v>
      </c>
      <c r="M17" s="91">
        <f t="shared" si="2"/>
        <v>39772</v>
      </c>
      <c r="N17" s="91">
        <f t="shared" si="2"/>
        <v>-39772</v>
      </c>
      <c r="O17" s="91">
        <f t="shared" si="2"/>
        <v>0</v>
      </c>
      <c r="P17" s="91">
        <f t="shared" si="2"/>
        <v>0</v>
      </c>
      <c r="Q17" s="91">
        <f t="shared" si="2"/>
        <v>0</v>
      </c>
      <c r="R17" s="91">
        <f t="shared" si="2"/>
        <v>0</v>
      </c>
      <c r="T17" s="10" t="str">
        <f t="shared" si="3"/>
        <v>0Purch</v>
      </c>
      <c r="U17" s="10" t="str">
        <f t="shared" si="4"/>
        <v xml:space="preserve">d Hydrogen </v>
      </c>
    </row>
    <row r="18" spans="1:21" ht="15">
      <c r="A18" s="71" t="s">
        <v>109</v>
      </c>
      <c r="B18" s="72">
        <v>1451827</v>
      </c>
      <c r="C18" s="72"/>
      <c r="D18" s="72">
        <v>755987</v>
      </c>
      <c r="E18" s="72">
        <v>1356645</v>
      </c>
      <c r="F18" s="72">
        <v>22679</v>
      </c>
      <c r="G18" s="73"/>
      <c r="H18" s="72">
        <v>828490</v>
      </c>
      <c r="J18" s="10" t="str">
        <f t="shared" si="0"/>
        <v>000866</v>
      </c>
      <c r="K18" s="10" t="str">
        <f t="shared" si="1"/>
        <v xml:space="preserve">Coke Offsite </v>
      </c>
      <c r="L18" s="91">
        <f t="shared" si="5"/>
        <v>725913.5</v>
      </c>
      <c r="M18" s="91">
        <f t="shared" si="5"/>
        <v>0</v>
      </c>
      <c r="N18" s="91">
        <f t="shared" si="5"/>
        <v>377993.5</v>
      </c>
      <c r="O18" s="91">
        <f t="shared" si="5"/>
        <v>678322.5</v>
      </c>
      <c r="P18" s="91">
        <f t="shared" si="5"/>
        <v>11339.5</v>
      </c>
      <c r="Q18" s="91">
        <f t="shared" si="5"/>
        <v>0</v>
      </c>
      <c r="R18" s="91">
        <f t="shared" si="5"/>
        <v>414245</v>
      </c>
      <c r="T18" s="10" t="str">
        <f t="shared" si="3"/>
        <v xml:space="preserve">0Coke </v>
      </c>
      <c r="U18" s="10" t="str">
        <f t="shared" si="4"/>
        <v xml:space="preserve">site </v>
      </c>
    </row>
    <row r="19" spans="1:21" ht="15">
      <c r="A19" s="71" t="s">
        <v>16</v>
      </c>
      <c r="B19" s="72">
        <v>6178</v>
      </c>
      <c r="C19" s="73"/>
      <c r="D19" s="72">
        <v>8660</v>
      </c>
      <c r="E19" s="72"/>
      <c r="F19" s="73"/>
      <c r="G19" s="72"/>
      <c r="H19" s="72">
        <v>14838</v>
      </c>
      <c r="J19" s="10" t="str">
        <f t="shared" si="0"/>
        <v>000896</v>
      </c>
      <c r="K19" s="10" t="str">
        <f t="shared" si="1"/>
        <v xml:space="preserve">Shell Marine Diesel Fuel </v>
      </c>
      <c r="L19" s="91">
        <f t="shared" si="5"/>
        <v>3089</v>
      </c>
      <c r="M19" s="91">
        <f t="shared" si="5"/>
        <v>0</v>
      </c>
      <c r="N19" s="91">
        <f t="shared" si="5"/>
        <v>4330</v>
      </c>
      <c r="O19" s="91">
        <f t="shared" si="5"/>
        <v>0</v>
      </c>
      <c r="P19" s="91">
        <f t="shared" si="5"/>
        <v>0</v>
      </c>
      <c r="Q19" s="91">
        <f t="shared" si="5"/>
        <v>0</v>
      </c>
      <c r="R19" s="91">
        <f t="shared" si="5"/>
        <v>7419</v>
      </c>
      <c r="T19" s="10" t="str">
        <f t="shared" si="3"/>
        <v>0Shell</v>
      </c>
      <c r="U19" s="10" t="str">
        <f t="shared" si="4"/>
        <v xml:space="preserve">rine Diesel Fuel </v>
      </c>
    </row>
    <row r="20" spans="1:21" ht="15">
      <c r="A20" s="71" t="s">
        <v>110</v>
      </c>
      <c r="B20" s="72">
        <v>46609</v>
      </c>
      <c r="C20" s="73"/>
      <c r="D20" s="72">
        <v>31653</v>
      </c>
      <c r="E20" s="72"/>
      <c r="F20" s="73"/>
      <c r="G20" s="73"/>
      <c r="H20" s="72">
        <v>78262</v>
      </c>
      <c r="J20" s="10" t="str">
        <f t="shared" si="0"/>
        <v>000918</v>
      </c>
      <c r="K20" s="10" t="str">
        <f t="shared" si="1"/>
        <v xml:space="preserve">PLAT-2 Feed </v>
      </c>
      <c r="L20" s="91">
        <f t="shared" si="5"/>
        <v>23304.5</v>
      </c>
      <c r="M20" s="91">
        <f t="shared" si="5"/>
        <v>0</v>
      </c>
      <c r="N20" s="91">
        <f t="shared" si="5"/>
        <v>15826.5</v>
      </c>
      <c r="O20" s="91">
        <f t="shared" si="5"/>
        <v>0</v>
      </c>
      <c r="P20" s="91">
        <f t="shared" si="5"/>
        <v>0</v>
      </c>
      <c r="Q20" s="91">
        <f t="shared" si="5"/>
        <v>0</v>
      </c>
      <c r="R20" s="91">
        <f t="shared" si="5"/>
        <v>39131</v>
      </c>
      <c r="T20" s="10" t="str">
        <f t="shared" si="3"/>
        <v>0PLAT-</v>
      </c>
      <c r="U20" s="10" t="str">
        <f t="shared" si="4"/>
        <v xml:space="preserve">eed </v>
      </c>
    </row>
    <row r="21" spans="1:21" ht="15">
      <c r="A21" s="71" t="s">
        <v>111</v>
      </c>
      <c r="B21" s="72"/>
      <c r="C21" s="72"/>
      <c r="D21" s="72">
        <v>77380</v>
      </c>
      <c r="E21" s="72"/>
      <c r="F21" s="73"/>
      <c r="G21" s="72">
        <v>77380</v>
      </c>
      <c r="H21" s="73"/>
      <c r="J21" s="10" t="str">
        <f t="shared" si="0"/>
        <v>001037</v>
      </c>
      <c r="K21" s="10" t="str">
        <f t="shared" si="1"/>
        <v xml:space="preserve">Cat Crk Coke </v>
      </c>
      <c r="L21" s="91">
        <f t="shared" si="5"/>
        <v>0</v>
      </c>
      <c r="M21" s="91">
        <f t="shared" si="5"/>
        <v>0</v>
      </c>
      <c r="N21" s="91">
        <f t="shared" si="5"/>
        <v>38690</v>
      </c>
      <c r="O21" s="91">
        <f t="shared" si="5"/>
        <v>0</v>
      </c>
      <c r="P21" s="91">
        <f t="shared" si="5"/>
        <v>0</v>
      </c>
      <c r="Q21" s="91">
        <f t="shared" si="5"/>
        <v>38690</v>
      </c>
      <c r="R21" s="91">
        <f t="shared" si="5"/>
        <v>0</v>
      </c>
      <c r="T21" s="10" t="str">
        <f t="shared" si="3"/>
        <v>0Cat C</v>
      </c>
      <c r="U21" s="10" t="str">
        <f t="shared" si="4"/>
        <v xml:space="preserve">Coke </v>
      </c>
    </row>
    <row r="22" spans="1:21" ht="15">
      <c r="A22" s="71" t="s">
        <v>112</v>
      </c>
      <c r="B22" s="72">
        <v>45429</v>
      </c>
      <c r="C22" s="73"/>
      <c r="D22" s="72">
        <v>84196</v>
      </c>
      <c r="E22" s="72">
        <v>71198</v>
      </c>
      <c r="F22" s="73"/>
      <c r="G22" s="73"/>
      <c r="H22" s="72">
        <v>58427</v>
      </c>
      <c r="J22" s="10" t="str">
        <f t="shared" si="0"/>
        <v>001046</v>
      </c>
      <c r="K22" s="10" t="str">
        <f t="shared" si="1"/>
        <v xml:space="preserve">Shell Sulfur </v>
      </c>
      <c r="L22" s="91">
        <f t="shared" si="5"/>
        <v>22714.5</v>
      </c>
      <c r="M22" s="91">
        <f t="shared" si="5"/>
        <v>0</v>
      </c>
      <c r="N22" s="91">
        <f t="shared" si="5"/>
        <v>42098</v>
      </c>
      <c r="O22" s="91">
        <f t="shared" si="5"/>
        <v>35599</v>
      </c>
      <c r="P22" s="91">
        <f t="shared" si="5"/>
        <v>0</v>
      </c>
      <c r="Q22" s="91">
        <f t="shared" si="5"/>
        <v>0</v>
      </c>
      <c r="R22" s="91">
        <f t="shared" si="5"/>
        <v>29213.5</v>
      </c>
      <c r="T22" s="10" t="str">
        <f t="shared" si="3"/>
        <v>0Shell</v>
      </c>
      <c r="U22" s="10" t="str">
        <f t="shared" si="4"/>
        <v xml:space="preserve">lfur </v>
      </c>
    </row>
    <row r="23" spans="1:21" ht="15">
      <c r="A23" s="71" t="s">
        <v>205</v>
      </c>
      <c r="B23" s="72"/>
      <c r="C23" s="73"/>
      <c r="D23" s="72">
        <v>61999</v>
      </c>
      <c r="E23" s="72">
        <v>61999</v>
      </c>
      <c r="F23" s="73"/>
      <c r="G23" s="72"/>
      <c r="H23" s="72"/>
      <c r="J23" s="10" t="str">
        <f t="shared" si="0"/>
        <v>001048</v>
      </c>
      <c r="K23" s="10" t="str">
        <f t="shared" si="1"/>
        <v xml:space="preserve">Carbon Dioxide </v>
      </c>
      <c r="L23" s="91">
        <f t="shared" si="5"/>
        <v>0</v>
      </c>
      <c r="M23" s="91">
        <f t="shared" si="5"/>
        <v>0</v>
      </c>
      <c r="N23" s="91">
        <f t="shared" si="5"/>
        <v>30999.5</v>
      </c>
      <c r="O23" s="91">
        <f t="shared" si="5"/>
        <v>30999.5</v>
      </c>
      <c r="P23" s="91">
        <f t="shared" si="5"/>
        <v>0</v>
      </c>
      <c r="Q23" s="91">
        <f t="shared" si="5"/>
        <v>0</v>
      </c>
      <c r="R23" s="91">
        <f t="shared" si="5"/>
        <v>0</v>
      </c>
      <c r="T23" s="10" t="str">
        <f t="shared" si="3"/>
        <v>0Carbo</v>
      </c>
      <c r="U23" s="10" t="str">
        <f t="shared" si="4"/>
        <v xml:space="preserve">ioxide </v>
      </c>
    </row>
    <row r="24" spans="1:21" ht="15">
      <c r="A24" s="71" t="s">
        <v>113</v>
      </c>
      <c r="B24" s="72">
        <v>930</v>
      </c>
      <c r="C24" s="73"/>
      <c r="D24" s="72">
        <v>66</v>
      </c>
      <c r="E24" s="72"/>
      <c r="F24" s="73"/>
      <c r="G24" s="73"/>
      <c r="H24" s="72">
        <v>997</v>
      </c>
      <c r="J24" s="10" t="str">
        <f t="shared" si="0"/>
        <v>003300</v>
      </c>
      <c r="K24" s="10" t="str">
        <f t="shared" si="1"/>
        <v xml:space="preserve">Transmix to Colex </v>
      </c>
      <c r="L24" s="91">
        <f t="shared" si="5"/>
        <v>465</v>
      </c>
      <c r="M24" s="91">
        <f t="shared" si="5"/>
        <v>0</v>
      </c>
      <c r="N24" s="91">
        <f t="shared" si="5"/>
        <v>33</v>
      </c>
      <c r="O24" s="91">
        <f t="shared" si="5"/>
        <v>0</v>
      </c>
      <c r="P24" s="91">
        <f t="shared" si="5"/>
        <v>0</v>
      </c>
      <c r="Q24" s="91">
        <f t="shared" si="5"/>
        <v>0</v>
      </c>
      <c r="R24" s="91">
        <f t="shared" si="5"/>
        <v>498.5</v>
      </c>
      <c r="T24" s="10" t="str">
        <f t="shared" si="3"/>
        <v>0Trans</v>
      </c>
      <c r="U24" s="10" t="str">
        <f t="shared" si="4"/>
        <v xml:space="preserve"> to Colex </v>
      </c>
    </row>
    <row r="25" spans="1:21" ht="15">
      <c r="A25" s="71" t="s">
        <v>114</v>
      </c>
      <c r="B25" s="72">
        <v>12344</v>
      </c>
      <c r="C25" s="73"/>
      <c r="D25" s="72">
        <v>25</v>
      </c>
      <c r="E25" s="73"/>
      <c r="F25" s="73"/>
      <c r="G25" s="73"/>
      <c r="H25" s="72">
        <v>12369</v>
      </c>
      <c r="J25" s="10" t="str">
        <f t="shared" si="0"/>
        <v>006819</v>
      </c>
      <c r="K25" s="10" t="str">
        <f t="shared" si="1"/>
        <v xml:space="preserve">Methanol </v>
      </c>
      <c r="L25" s="91">
        <f t="shared" si="5"/>
        <v>6172</v>
      </c>
      <c r="M25" s="91">
        <f t="shared" si="5"/>
        <v>0</v>
      </c>
      <c r="N25" s="91">
        <f t="shared" si="5"/>
        <v>12.5</v>
      </c>
      <c r="O25" s="91">
        <f t="shared" si="5"/>
        <v>0</v>
      </c>
      <c r="P25" s="91">
        <f t="shared" si="5"/>
        <v>0</v>
      </c>
      <c r="Q25" s="91">
        <f t="shared" si="5"/>
        <v>0</v>
      </c>
      <c r="R25" s="91">
        <f t="shared" si="5"/>
        <v>6184.5</v>
      </c>
      <c r="T25" s="10" t="str">
        <f t="shared" si="3"/>
        <v>0Metha</v>
      </c>
      <c r="U25" s="10" t="str">
        <f t="shared" si="4"/>
        <v xml:space="preserve"> </v>
      </c>
    </row>
    <row r="26" spans="1:21" ht="15">
      <c r="A26" s="71" t="s">
        <v>115</v>
      </c>
      <c r="B26" s="72">
        <v>43130</v>
      </c>
      <c r="C26" s="73"/>
      <c r="D26" s="72">
        <v>-479</v>
      </c>
      <c r="E26" s="72"/>
      <c r="F26" s="73"/>
      <c r="G26" s="73"/>
      <c r="H26" s="72">
        <v>42652</v>
      </c>
      <c r="J26" s="10" t="str">
        <f t="shared" si="0"/>
        <v>008021</v>
      </c>
      <c r="K26" s="10" t="str">
        <f t="shared" si="1"/>
        <v xml:space="preserve">HDU-2 Feed </v>
      </c>
      <c r="L26" s="91">
        <f t="shared" si="5"/>
        <v>21565</v>
      </c>
      <c r="M26" s="91">
        <f t="shared" si="5"/>
        <v>0</v>
      </c>
      <c r="N26" s="91">
        <f t="shared" si="5"/>
        <v>-239.5</v>
      </c>
      <c r="O26" s="91">
        <f t="shared" si="5"/>
        <v>0</v>
      </c>
      <c r="P26" s="91">
        <f t="shared" si="5"/>
        <v>0</v>
      </c>
      <c r="Q26" s="91">
        <f t="shared" si="5"/>
        <v>0</v>
      </c>
      <c r="R26" s="91">
        <f t="shared" si="5"/>
        <v>21326</v>
      </c>
      <c r="T26" s="10" t="str">
        <f t="shared" si="3"/>
        <v>0HDU-2</v>
      </c>
      <c r="U26" s="10" t="str">
        <f t="shared" si="4"/>
        <v xml:space="preserve">ed </v>
      </c>
    </row>
    <row r="27" spans="1:21" ht="15">
      <c r="A27" s="71" t="s">
        <v>116</v>
      </c>
      <c r="B27" s="72">
        <v>69160</v>
      </c>
      <c r="C27" s="73"/>
      <c r="D27" s="72">
        <v>-30422</v>
      </c>
      <c r="E27" s="72"/>
      <c r="F27" s="73"/>
      <c r="G27" s="73"/>
      <c r="H27" s="72">
        <v>38738</v>
      </c>
      <c r="J27" s="10" t="str">
        <f t="shared" si="0"/>
        <v>008030</v>
      </c>
      <c r="K27" s="10" t="str">
        <f t="shared" si="1"/>
        <v xml:space="preserve">HVY Raffinate </v>
      </c>
      <c r="L27" s="91">
        <f t="shared" si="5"/>
        <v>34580</v>
      </c>
      <c r="M27" s="91">
        <f t="shared" si="5"/>
        <v>0</v>
      </c>
      <c r="N27" s="91">
        <f t="shared" si="5"/>
        <v>-15211</v>
      </c>
      <c r="O27" s="91">
        <f t="shared" si="5"/>
        <v>0</v>
      </c>
      <c r="P27" s="91">
        <f t="shared" si="5"/>
        <v>0</v>
      </c>
      <c r="Q27" s="91">
        <f t="shared" si="5"/>
        <v>0</v>
      </c>
      <c r="R27" s="91">
        <f t="shared" si="5"/>
        <v>19369</v>
      </c>
      <c r="T27" s="10" t="str">
        <f t="shared" si="3"/>
        <v>0HVY R</v>
      </c>
      <c r="U27" s="10" t="str">
        <f t="shared" si="4"/>
        <v xml:space="preserve">inate </v>
      </c>
    </row>
    <row r="28" spans="1:21" ht="15">
      <c r="A28" s="71" t="s">
        <v>244</v>
      </c>
      <c r="B28" s="72"/>
      <c r="C28" s="73"/>
      <c r="D28" s="72">
        <v>53008</v>
      </c>
      <c r="E28" s="72">
        <v>53008</v>
      </c>
      <c r="F28" s="73"/>
      <c r="G28" s="73"/>
      <c r="H28" s="72"/>
      <c r="J28" s="10" t="str">
        <f t="shared" si="0"/>
        <v>008048</v>
      </c>
      <c r="K28" s="10" t="str">
        <f t="shared" si="1"/>
        <v>Light Cat Cracked Gasolin</v>
      </c>
      <c r="L28" s="91">
        <f t="shared" si="5"/>
        <v>0</v>
      </c>
      <c r="M28" s="91">
        <f t="shared" si="5"/>
        <v>0</v>
      </c>
      <c r="N28" s="91">
        <f t="shared" si="5"/>
        <v>26504</v>
      </c>
      <c r="O28" s="91">
        <f t="shared" si="5"/>
        <v>26504</v>
      </c>
      <c r="P28" s="91">
        <f t="shared" si="5"/>
        <v>0</v>
      </c>
      <c r="Q28" s="91">
        <f t="shared" si="5"/>
        <v>0</v>
      </c>
      <c r="R28" s="91">
        <f t="shared" si="5"/>
        <v>0</v>
      </c>
      <c r="T28" s="10" t="str">
        <f t="shared" si="3"/>
        <v>0Light</v>
      </c>
      <c r="U28" s="10" t="str">
        <f t="shared" si="4"/>
        <v>t Cracked Gasolin</v>
      </c>
    </row>
    <row r="29" spans="1:21" ht="15">
      <c r="A29" s="71" t="s">
        <v>117</v>
      </c>
      <c r="B29" s="72">
        <v>85994</v>
      </c>
      <c r="C29" s="73"/>
      <c r="D29" s="72">
        <v>35314</v>
      </c>
      <c r="E29" s="72"/>
      <c r="F29" s="73"/>
      <c r="G29" s="73"/>
      <c r="H29" s="72">
        <v>121308</v>
      </c>
      <c r="J29" s="10" t="str">
        <f t="shared" si="0"/>
        <v>008060</v>
      </c>
      <c r="K29" s="10" t="str">
        <f t="shared" si="1"/>
        <v xml:space="preserve">Motor Alkylate </v>
      </c>
      <c r="L29" s="91">
        <f t="shared" si="5"/>
        <v>42997</v>
      </c>
      <c r="M29" s="91">
        <f t="shared" si="5"/>
        <v>0</v>
      </c>
      <c r="N29" s="91">
        <f t="shared" si="5"/>
        <v>17657</v>
      </c>
      <c r="O29" s="91">
        <f t="shared" si="5"/>
        <v>0</v>
      </c>
      <c r="P29" s="91">
        <f t="shared" si="5"/>
        <v>0</v>
      </c>
      <c r="Q29" s="91">
        <f t="shared" si="5"/>
        <v>0</v>
      </c>
      <c r="R29" s="91">
        <f t="shared" si="5"/>
        <v>60654</v>
      </c>
      <c r="T29" s="10" t="str">
        <f t="shared" si="3"/>
        <v>0Motor</v>
      </c>
      <c r="U29" s="10" t="str">
        <f t="shared" si="4"/>
        <v xml:space="preserve">kylate </v>
      </c>
    </row>
    <row r="30" spans="1:21" ht="15">
      <c r="A30" s="71" t="s">
        <v>17</v>
      </c>
      <c r="B30" s="72">
        <v>432</v>
      </c>
      <c r="C30" s="72"/>
      <c r="D30" s="72"/>
      <c r="E30" s="73"/>
      <c r="F30" s="73"/>
      <c r="G30" s="73"/>
      <c r="H30" s="72">
        <v>432</v>
      </c>
      <c r="J30" s="10" t="str">
        <f t="shared" si="0"/>
        <v>008088</v>
      </c>
      <c r="K30" s="10" t="str">
        <f t="shared" si="1"/>
        <v xml:space="preserve">MTBE </v>
      </c>
      <c r="L30" s="91">
        <f t="shared" si="5"/>
        <v>216</v>
      </c>
      <c r="M30" s="91">
        <f t="shared" si="5"/>
        <v>0</v>
      </c>
      <c r="N30" s="91">
        <f t="shared" si="5"/>
        <v>0</v>
      </c>
      <c r="O30" s="91">
        <f t="shared" si="5"/>
        <v>0</v>
      </c>
      <c r="P30" s="91">
        <f t="shared" si="5"/>
        <v>0</v>
      </c>
      <c r="Q30" s="91">
        <f t="shared" si="5"/>
        <v>0</v>
      </c>
      <c r="R30" s="91">
        <f t="shared" si="5"/>
        <v>216</v>
      </c>
      <c r="T30" s="10" t="str">
        <f t="shared" si="3"/>
        <v xml:space="preserve">0MTBE </v>
      </c>
      <c r="U30" s="10" t="str">
        <f t="shared" si="4"/>
        <v/>
      </c>
    </row>
    <row r="31" spans="1:21" ht="15">
      <c r="A31" s="71" t="s">
        <v>118</v>
      </c>
      <c r="B31" s="72">
        <v>241656</v>
      </c>
      <c r="C31" s="72"/>
      <c r="D31" s="72">
        <v>-44193</v>
      </c>
      <c r="E31" s="73"/>
      <c r="F31" s="73"/>
      <c r="G31" s="73"/>
      <c r="H31" s="72">
        <v>197463</v>
      </c>
      <c r="J31" s="10" t="str">
        <f t="shared" si="0"/>
        <v>008113</v>
      </c>
      <c r="K31" s="10" t="str">
        <f t="shared" si="1"/>
        <v xml:space="preserve">Untreated Heavy Gas Oil </v>
      </c>
      <c r="L31" s="91">
        <f t="shared" si="5"/>
        <v>120828</v>
      </c>
      <c r="M31" s="91">
        <f t="shared" si="5"/>
        <v>0</v>
      </c>
      <c r="N31" s="91">
        <f t="shared" si="5"/>
        <v>-22096.5</v>
      </c>
      <c r="O31" s="91">
        <f t="shared" si="5"/>
        <v>0</v>
      </c>
      <c r="P31" s="91">
        <f t="shared" si="5"/>
        <v>0</v>
      </c>
      <c r="Q31" s="91">
        <f t="shared" si="5"/>
        <v>0</v>
      </c>
      <c r="R31" s="91">
        <f t="shared" si="5"/>
        <v>98731.5</v>
      </c>
      <c r="T31" s="10" t="str">
        <f t="shared" si="3"/>
        <v>0Untre</v>
      </c>
      <c r="U31" s="10" t="str">
        <f t="shared" si="4"/>
        <v xml:space="preserve">d Heavy Gas Oil </v>
      </c>
    </row>
    <row r="32" spans="1:21" ht="15">
      <c r="A32" s="71" t="s">
        <v>18</v>
      </c>
      <c r="B32" s="72">
        <v>26853</v>
      </c>
      <c r="C32" s="72"/>
      <c r="D32" s="72">
        <v>31287</v>
      </c>
      <c r="E32" s="73"/>
      <c r="F32" s="73"/>
      <c r="G32" s="73"/>
      <c r="H32" s="72">
        <v>58139</v>
      </c>
      <c r="J32" s="10" t="str">
        <f t="shared" si="0"/>
        <v>008152</v>
      </c>
      <c r="K32" s="10" t="str">
        <f t="shared" si="1"/>
        <v>Untreated Cat Gasoline (o</v>
      </c>
      <c r="L32" s="91">
        <f t="shared" si="5"/>
        <v>13426.5</v>
      </c>
      <c r="M32" s="91">
        <f t="shared" si="5"/>
        <v>0</v>
      </c>
      <c r="N32" s="91">
        <f t="shared" si="5"/>
        <v>15643.5</v>
      </c>
      <c r="O32" s="91">
        <f t="shared" si="5"/>
        <v>0</v>
      </c>
      <c r="P32" s="91">
        <f t="shared" si="5"/>
        <v>0</v>
      </c>
      <c r="Q32" s="91">
        <f t="shared" si="5"/>
        <v>0</v>
      </c>
      <c r="R32" s="91">
        <f t="shared" si="5"/>
        <v>29069.5</v>
      </c>
      <c r="T32" s="10" t="str">
        <f t="shared" si="3"/>
        <v>0Untre</v>
      </c>
      <c r="U32" s="10" t="str">
        <f t="shared" si="4"/>
        <v>d Cat Gasoline (o</v>
      </c>
    </row>
    <row r="33" spans="1:21" ht="15">
      <c r="A33" s="71" t="s">
        <v>119</v>
      </c>
      <c r="B33" s="72">
        <v>10302</v>
      </c>
      <c r="C33" s="73"/>
      <c r="D33" s="72">
        <v>-818</v>
      </c>
      <c r="E33" s="72"/>
      <c r="F33" s="73"/>
      <c r="G33" s="73"/>
      <c r="H33" s="72">
        <v>9484</v>
      </c>
      <c r="J33" s="10" t="str">
        <f t="shared" si="0"/>
        <v>008160</v>
      </c>
      <c r="K33" s="10" t="str">
        <f t="shared" si="1"/>
        <v>Off Spec Butane/Butylenes</v>
      </c>
      <c r="L33" s="91">
        <f t="shared" si="5"/>
        <v>5151</v>
      </c>
      <c r="M33" s="91">
        <f t="shared" si="5"/>
        <v>0</v>
      </c>
      <c r="N33" s="91">
        <f t="shared" si="5"/>
        <v>-409</v>
      </c>
      <c r="O33" s="91">
        <f t="shared" si="5"/>
        <v>0</v>
      </c>
      <c r="P33" s="91">
        <f t="shared" si="5"/>
        <v>0</v>
      </c>
      <c r="Q33" s="91">
        <f t="shared" si="5"/>
        <v>0</v>
      </c>
      <c r="R33" s="91">
        <f t="shared" si="5"/>
        <v>4742</v>
      </c>
      <c r="T33" s="10" t="str">
        <f t="shared" si="3"/>
        <v>0Off S</v>
      </c>
      <c r="U33" s="10" t="str">
        <f t="shared" si="4"/>
        <v xml:space="preserve"> Butane/Butylenes</v>
      </c>
    </row>
    <row r="34" spans="1:21" ht="15">
      <c r="A34" s="71" t="s">
        <v>120</v>
      </c>
      <c r="B34" s="72">
        <v>13566</v>
      </c>
      <c r="C34" s="72">
        <v>77791</v>
      </c>
      <c r="D34" s="72">
        <v>-79434</v>
      </c>
      <c r="E34" s="72"/>
      <c r="F34" s="73"/>
      <c r="G34" s="73"/>
      <c r="H34" s="72">
        <v>11923</v>
      </c>
      <c r="J34" s="10" t="str">
        <f t="shared" si="0"/>
        <v>008162</v>
      </c>
      <c r="K34" s="10" t="str">
        <f t="shared" si="1"/>
        <v xml:space="preserve">Butane/Butylenes </v>
      </c>
      <c r="L34" s="91">
        <f t="shared" si="5"/>
        <v>6783</v>
      </c>
      <c r="M34" s="91">
        <f t="shared" si="5"/>
        <v>38895.5</v>
      </c>
      <c r="N34" s="91">
        <f t="shared" si="5"/>
        <v>-39717</v>
      </c>
      <c r="O34" s="91">
        <f t="shared" si="5"/>
        <v>0</v>
      </c>
      <c r="P34" s="91">
        <f t="shared" si="5"/>
        <v>0</v>
      </c>
      <c r="Q34" s="91">
        <f t="shared" si="5"/>
        <v>0</v>
      </c>
      <c r="R34" s="91">
        <f t="shared" si="5"/>
        <v>5961.5</v>
      </c>
      <c r="T34" s="10" t="str">
        <f t="shared" si="3"/>
        <v>0Butan</v>
      </c>
      <c r="U34" s="10" t="str">
        <f t="shared" si="4"/>
        <v xml:space="preserve">utylenes </v>
      </c>
    </row>
    <row r="35" spans="1:21" ht="15">
      <c r="A35" s="71" t="s">
        <v>121</v>
      </c>
      <c r="B35" s="72">
        <v>25995</v>
      </c>
      <c r="C35" s="72"/>
      <c r="D35" s="72">
        <v>-9321</v>
      </c>
      <c r="E35" s="73"/>
      <c r="F35" s="73"/>
      <c r="G35" s="73"/>
      <c r="H35" s="72">
        <v>16674</v>
      </c>
      <c r="J35" s="10" t="str">
        <f t="shared" si="0"/>
        <v>008200</v>
      </c>
      <c r="K35" s="10" t="str">
        <f t="shared" si="1"/>
        <v xml:space="preserve">SGP Debut Bottoms </v>
      </c>
      <c r="L35" s="91">
        <f t="shared" si="5"/>
        <v>12997.5</v>
      </c>
      <c r="M35" s="91">
        <f t="shared" si="5"/>
        <v>0</v>
      </c>
      <c r="N35" s="91">
        <f t="shared" si="5"/>
        <v>-4660.5</v>
      </c>
      <c r="O35" s="91">
        <f t="shared" si="5"/>
        <v>0</v>
      </c>
      <c r="P35" s="91">
        <f t="shared" si="5"/>
        <v>0</v>
      </c>
      <c r="Q35" s="91">
        <f t="shared" si="5"/>
        <v>0</v>
      </c>
      <c r="R35" s="91">
        <f t="shared" si="5"/>
        <v>8337</v>
      </c>
      <c r="T35" s="10" t="str">
        <f t="shared" si="3"/>
        <v>0SGP D</v>
      </c>
      <c r="U35" s="10" t="str">
        <f t="shared" si="4"/>
        <v xml:space="preserve">t Bottoms </v>
      </c>
    </row>
    <row r="36" spans="1:21" ht="15">
      <c r="A36" s="71" t="s">
        <v>122</v>
      </c>
      <c r="B36" s="72">
        <v>74094</v>
      </c>
      <c r="C36" s="72"/>
      <c r="D36" s="72">
        <v>9156</v>
      </c>
      <c r="E36" s="72"/>
      <c r="F36" s="73"/>
      <c r="G36" s="73"/>
      <c r="H36" s="72">
        <v>83250</v>
      </c>
      <c r="J36" s="10" t="str">
        <f t="shared" si="0"/>
        <v>008240</v>
      </c>
      <c r="K36" s="10" t="str">
        <f t="shared" si="1"/>
        <v xml:space="preserve">Untreated Jet Fuel </v>
      </c>
      <c r="L36" s="91">
        <f t="shared" si="5"/>
        <v>37047</v>
      </c>
      <c r="M36" s="91">
        <f t="shared" si="5"/>
        <v>0</v>
      </c>
      <c r="N36" s="91">
        <f t="shared" si="5"/>
        <v>4578</v>
      </c>
      <c r="O36" s="91">
        <f t="shared" si="5"/>
        <v>0</v>
      </c>
      <c r="P36" s="91">
        <f t="shared" si="5"/>
        <v>0</v>
      </c>
      <c r="Q36" s="91">
        <f t="shared" si="5"/>
        <v>0</v>
      </c>
      <c r="R36" s="91">
        <f t="shared" si="5"/>
        <v>41625</v>
      </c>
      <c r="T36" s="10" t="str">
        <f t="shared" si="3"/>
        <v>0Untre</v>
      </c>
      <c r="U36" s="10" t="str">
        <f t="shared" si="4"/>
        <v xml:space="preserve">d Jet Fuel </v>
      </c>
    </row>
    <row r="37" spans="1:21" ht="15">
      <c r="A37" s="71" t="s">
        <v>203</v>
      </c>
      <c r="B37" s="72">
        <v>18484</v>
      </c>
      <c r="C37" s="73"/>
      <c r="D37" s="72">
        <v>19931</v>
      </c>
      <c r="E37" s="72"/>
      <c r="F37" s="73"/>
      <c r="G37" s="73"/>
      <c r="H37" s="72">
        <v>38414</v>
      </c>
      <c r="J37" s="10" t="str">
        <f t="shared" si="0"/>
        <v>008605</v>
      </c>
      <c r="K37" s="10" t="str">
        <f t="shared" si="1"/>
        <v xml:space="preserve">SR C5/C6 </v>
      </c>
      <c r="L37" s="91">
        <f t="shared" si="5"/>
        <v>9242</v>
      </c>
      <c r="M37" s="91">
        <f t="shared" si="5"/>
        <v>0</v>
      </c>
      <c r="N37" s="91">
        <f t="shared" si="5"/>
        <v>9965.5</v>
      </c>
      <c r="O37" s="91">
        <f t="shared" si="5"/>
        <v>0</v>
      </c>
      <c r="P37" s="91">
        <f t="shared" si="5"/>
        <v>0</v>
      </c>
      <c r="Q37" s="91">
        <f t="shared" si="5"/>
        <v>0</v>
      </c>
      <c r="R37" s="91">
        <f t="shared" si="5"/>
        <v>19207</v>
      </c>
      <c r="T37" s="10" t="str">
        <f t="shared" si="3"/>
        <v>0SR C5</v>
      </c>
      <c r="U37" s="10" t="str">
        <f t="shared" si="4"/>
        <v xml:space="preserve"> </v>
      </c>
    </row>
    <row r="38" spans="1:21" ht="15">
      <c r="A38" s="71" t="s">
        <v>123</v>
      </c>
      <c r="B38" s="72">
        <v>172845</v>
      </c>
      <c r="C38" s="72"/>
      <c r="D38" s="72">
        <v>-62647</v>
      </c>
      <c r="E38" s="73"/>
      <c r="F38" s="73"/>
      <c r="G38" s="73"/>
      <c r="H38" s="72">
        <v>110197</v>
      </c>
      <c r="J38" s="10" t="str">
        <f t="shared" si="0"/>
        <v>008679</v>
      </c>
      <c r="K38" s="10" t="str">
        <f t="shared" si="1"/>
        <v xml:space="preserve">Off Spec Naphtha </v>
      </c>
      <c r="L38" s="91">
        <f t="shared" si="5"/>
        <v>86422.5</v>
      </c>
      <c r="M38" s="91">
        <f t="shared" si="5"/>
        <v>0</v>
      </c>
      <c r="N38" s="91">
        <f t="shared" si="5"/>
        <v>-31323.5</v>
      </c>
      <c r="O38" s="91">
        <f t="shared" si="5"/>
        <v>0</v>
      </c>
      <c r="P38" s="91">
        <f t="shared" si="5"/>
        <v>0</v>
      </c>
      <c r="Q38" s="91">
        <f t="shared" si="5"/>
        <v>0</v>
      </c>
      <c r="R38" s="91">
        <f t="shared" si="5"/>
        <v>55098.5</v>
      </c>
      <c r="T38" s="10" t="str">
        <f t="shared" si="3"/>
        <v>0Off S</v>
      </c>
      <c r="U38" s="10" t="str">
        <f t="shared" si="4"/>
        <v xml:space="preserve"> Naphtha </v>
      </c>
    </row>
    <row r="39" spans="1:21" ht="15">
      <c r="A39" s="71" t="s">
        <v>124</v>
      </c>
      <c r="B39" s="72">
        <v>88302</v>
      </c>
      <c r="C39" s="73"/>
      <c r="D39" s="72">
        <v>104172</v>
      </c>
      <c r="E39" s="72">
        <v>143473</v>
      </c>
      <c r="F39" s="73"/>
      <c r="G39" s="73"/>
      <c r="H39" s="72">
        <v>49000</v>
      </c>
      <c r="J39" s="10" t="str">
        <f t="shared" si="0"/>
        <v>008708</v>
      </c>
      <c r="K39" s="10" t="str">
        <f t="shared" si="1"/>
        <v>Cat Cracked Clarified Oil</v>
      </c>
      <c r="L39" s="91">
        <f t="shared" si="5"/>
        <v>44151</v>
      </c>
      <c r="M39" s="91">
        <f t="shared" si="5"/>
        <v>0</v>
      </c>
      <c r="N39" s="91">
        <f t="shared" si="5"/>
        <v>52086</v>
      </c>
      <c r="O39" s="91">
        <f t="shared" si="5"/>
        <v>71736.5</v>
      </c>
      <c r="P39" s="91">
        <f t="shared" si="5"/>
        <v>0</v>
      </c>
      <c r="Q39" s="91">
        <f t="shared" si="5"/>
        <v>0</v>
      </c>
      <c r="R39" s="91">
        <f t="shared" si="5"/>
        <v>24500</v>
      </c>
      <c r="T39" s="10" t="str">
        <f t="shared" si="3"/>
        <v>0Cat C</v>
      </c>
      <c r="U39" s="10" t="str">
        <f t="shared" si="4"/>
        <v>ked Clarified Oil</v>
      </c>
    </row>
    <row r="40" spans="1:21" ht="15">
      <c r="A40" s="71" t="s">
        <v>125</v>
      </c>
      <c r="B40" s="72">
        <v>191156</v>
      </c>
      <c r="C40" s="73"/>
      <c r="D40" s="72">
        <v>-3821</v>
      </c>
      <c r="E40" s="72"/>
      <c r="F40" s="73"/>
      <c r="G40" s="73"/>
      <c r="H40" s="72">
        <v>187336</v>
      </c>
      <c r="J40" s="10" t="str">
        <f t="shared" si="0"/>
        <v>008709</v>
      </c>
      <c r="K40" s="10" t="str">
        <f t="shared" si="1"/>
        <v>Untreated Light CC Gas Oi</v>
      </c>
      <c r="L40" s="91">
        <f t="shared" si="5"/>
        <v>95578</v>
      </c>
      <c r="M40" s="91">
        <f t="shared" si="5"/>
        <v>0</v>
      </c>
      <c r="N40" s="91">
        <f t="shared" si="5"/>
        <v>-1910.5</v>
      </c>
      <c r="O40" s="91">
        <f t="shared" si="5"/>
        <v>0</v>
      </c>
      <c r="P40" s="91">
        <f t="shared" si="5"/>
        <v>0</v>
      </c>
      <c r="Q40" s="91">
        <f t="shared" si="5"/>
        <v>0</v>
      </c>
      <c r="R40" s="91">
        <f t="shared" si="5"/>
        <v>93668</v>
      </c>
      <c r="T40" s="10" t="str">
        <f t="shared" si="3"/>
        <v>0Untre</v>
      </c>
      <c r="U40" s="10" t="str">
        <f t="shared" si="4"/>
        <v>d Light CC Gas Oi</v>
      </c>
    </row>
    <row r="41" spans="1:21" ht="15">
      <c r="A41" s="71" t="s">
        <v>126</v>
      </c>
      <c r="B41" s="72">
        <v>96933</v>
      </c>
      <c r="C41" s="72"/>
      <c r="D41" s="72">
        <v>32297</v>
      </c>
      <c r="E41" s="72">
        <v>45056</v>
      </c>
      <c r="F41" s="73">
        <v>187</v>
      </c>
      <c r="G41" s="73"/>
      <c r="H41" s="72">
        <v>83986</v>
      </c>
      <c r="J41" s="10" t="str">
        <f t="shared" si="0"/>
        <v>008712</v>
      </c>
      <c r="K41" s="10" t="str">
        <f t="shared" si="1"/>
        <v>High Sulfur Cat Cracked F</v>
      </c>
      <c r="L41" s="91">
        <f t="shared" si="5"/>
        <v>48466.5</v>
      </c>
      <c r="M41" s="91">
        <f t="shared" si="5"/>
        <v>0</v>
      </c>
      <c r="N41" s="91">
        <f t="shared" si="5"/>
        <v>16148.5</v>
      </c>
      <c r="O41" s="91">
        <f t="shared" si="5"/>
        <v>22528</v>
      </c>
      <c r="P41" s="91">
        <f t="shared" si="5"/>
        <v>93.5</v>
      </c>
      <c r="Q41" s="91">
        <f t="shared" si="5"/>
        <v>0</v>
      </c>
      <c r="R41" s="91">
        <f t="shared" si="5"/>
        <v>41993</v>
      </c>
      <c r="T41" s="10" t="str">
        <f t="shared" si="3"/>
        <v xml:space="preserve">0High </v>
      </c>
      <c r="U41" s="10" t="str">
        <f t="shared" si="4"/>
        <v>fur Cat Cracked F</v>
      </c>
    </row>
    <row r="42" spans="1:21" ht="15">
      <c r="A42" s="71" t="s">
        <v>127</v>
      </c>
      <c r="B42" s="72">
        <v>94011</v>
      </c>
      <c r="C42" s="73"/>
      <c r="D42" s="72">
        <v>-17722</v>
      </c>
      <c r="E42" s="73"/>
      <c r="F42" s="72"/>
      <c r="G42" s="73"/>
      <c r="H42" s="72">
        <v>76289</v>
      </c>
      <c r="J42" s="10" t="str">
        <f t="shared" si="0"/>
        <v>008720</v>
      </c>
      <c r="K42" s="10" t="str">
        <f t="shared" si="1"/>
        <v>Low Sulfur Cat Cracked Fe</v>
      </c>
      <c r="L42" s="91">
        <f t="shared" si="5"/>
        <v>47005.5</v>
      </c>
      <c r="M42" s="91">
        <f t="shared" si="5"/>
        <v>0</v>
      </c>
      <c r="N42" s="91">
        <f t="shared" si="5"/>
        <v>-8861</v>
      </c>
      <c r="O42" s="91">
        <f t="shared" si="5"/>
        <v>0</v>
      </c>
      <c r="P42" s="91">
        <f t="shared" si="5"/>
        <v>0</v>
      </c>
      <c r="Q42" s="91">
        <f t="shared" si="5"/>
        <v>0</v>
      </c>
      <c r="R42" s="91">
        <f t="shared" si="5"/>
        <v>38144.5</v>
      </c>
      <c r="T42" s="10" t="str">
        <f t="shared" si="3"/>
        <v>0Low S</v>
      </c>
      <c r="U42" s="10" t="str">
        <f t="shared" si="4"/>
        <v>ur Cat Cracked Fe</v>
      </c>
    </row>
    <row r="43" spans="1:21" ht="15">
      <c r="A43" s="71" t="s">
        <v>128</v>
      </c>
      <c r="B43" s="72">
        <v>28738</v>
      </c>
      <c r="C43" s="73"/>
      <c r="D43" s="72">
        <v>2278</v>
      </c>
      <c r="E43" s="72"/>
      <c r="F43" s="73"/>
      <c r="G43" s="73"/>
      <c r="H43" s="72">
        <v>31016</v>
      </c>
      <c r="J43" s="10" t="str">
        <f t="shared" si="0"/>
        <v>008737</v>
      </c>
      <c r="K43" s="10" t="str">
        <f t="shared" si="1"/>
        <v xml:space="preserve">ST Run Short Residue </v>
      </c>
      <c r="L43" s="91">
        <f t="shared" si="5"/>
        <v>14369</v>
      </c>
      <c r="M43" s="91">
        <f t="shared" si="5"/>
        <v>0</v>
      </c>
      <c r="N43" s="91">
        <f t="shared" si="5"/>
        <v>1139</v>
      </c>
      <c r="O43" s="91">
        <f t="shared" si="5"/>
        <v>0</v>
      </c>
      <c r="P43" s="91">
        <f t="shared" si="5"/>
        <v>0</v>
      </c>
      <c r="Q43" s="91">
        <f t="shared" si="5"/>
        <v>0</v>
      </c>
      <c r="R43" s="91">
        <f t="shared" si="5"/>
        <v>15508</v>
      </c>
      <c r="T43" s="10" t="str">
        <f t="shared" si="3"/>
        <v>0ST Ru</v>
      </c>
      <c r="U43" s="10" t="str">
        <f t="shared" si="4"/>
        <v xml:space="preserve">hort Residue </v>
      </c>
    </row>
    <row r="44" spans="1:21" ht="15">
      <c r="A44" s="71" t="s">
        <v>129</v>
      </c>
      <c r="B44" s="72">
        <v>34902</v>
      </c>
      <c r="C44" s="72"/>
      <c r="D44" s="72">
        <v>-8864</v>
      </c>
      <c r="E44" s="72"/>
      <c r="F44" s="73"/>
      <c r="G44" s="73"/>
      <c r="H44" s="72">
        <v>26038</v>
      </c>
      <c r="J44" s="10" t="str">
        <f t="shared" si="0"/>
        <v>008745</v>
      </c>
      <c r="K44" s="10" t="str">
        <f t="shared" si="1"/>
        <v>CKR Light Gas Oil-BL/FD S</v>
      </c>
      <c r="L44" s="91">
        <f t="shared" si="5"/>
        <v>17451</v>
      </c>
      <c r="M44" s="91">
        <f t="shared" si="5"/>
        <v>0</v>
      </c>
      <c r="N44" s="91">
        <f t="shared" si="5"/>
        <v>-4432</v>
      </c>
      <c r="O44" s="91">
        <f t="shared" si="5"/>
        <v>0</v>
      </c>
      <c r="P44" s="91">
        <f t="shared" si="5"/>
        <v>0</v>
      </c>
      <c r="Q44" s="91">
        <f t="shared" si="5"/>
        <v>0</v>
      </c>
      <c r="R44" s="91">
        <f t="shared" si="5"/>
        <v>13019</v>
      </c>
      <c r="T44" s="10" t="str">
        <f t="shared" si="3"/>
        <v>0CKR L</v>
      </c>
      <c r="U44" s="10" t="str">
        <f t="shared" si="4"/>
        <v>t Gas Oil-BL/FD S</v>
      </c>
    </row>
    <row r="45" spans="1:21" ht="15">
      <c r="A45" s="71" t="s">
        <v>130</v>
      </c>
      <c r="B45" s="72">
        <v>32417</v>
      </c>
      <c r="C45" s="72"/>
      <c r="D45" s="72">
        <v>-1772</v>
      </c>
      <c r="E45" s="73"/>
      <c r="F45" s="72"/>
      <c r="G45" s="72"/>
      <c r="H45" s="72">
        <v>30645</v>
      </c>
      <c r="J45" s="10" t="str">
        <f t="shared" si="0"/>
        <v>008771</v>
      </c>
      <c r="K45" s="10" t="str">
        <f t="shared" si="1"/>
        <v>Untreated Heavy CC Gas Oi</v>
      </c>
      <c r="L45" s="91">
        <f t="shared" si="5"/>
        <v>16208.5</v>
      </c>
      <c r="M45" s="91">
        <f t="shared" si="5"/>
        <v>0</v>
      </c>
      <c r="N45" s="91">
        <f t="shared" si="5"/>
        <v>-886</v>
      </c>
      <c r="O45" s="91">
        <f t="shared" si="5"/>
        <v>0</v>
      </c>
      <c r="P45" s="91">
        <f t="shared" si="5"/>
        <v>0</v>
      </c>
      <c r="Q45" s="91">
        <f t="shared" si="5"/>
        <v>0</v>
      </c>
      <c r="R45" s="91">
        <f t="shared" si="5"/>
        <v>15322.5</v>
      </c>
      <c r="T45" s="10" t="str">
        <f t="shared" si="3"/>
        <v>0Untre</v>
      </c>
      <c r="U45" s="10" t="str">
        <f t="shared" si="4"/>
        <v>d Heavy CC Gas Oi</v>
      </c>
    </row>
    <row r="46" spans="1:21" ht="15">
      <c r="A46" s="71" t="s">
        <v>251</v>
      </c>
      <c r="B46" s="72"/>
      <c r="C46" s="72">
        <v>60071</v>
      </c>
      <c r="D46" s="72">
        <v>-60071</v>
      </c>
      <c r="E46" s="73"/>
      <c r="F46" s="73"/>
      <c r="G46" s="73"/>
      <c r="H46" s="72"/>
      <c r="J46" s="10" t="str">
        <f t="shared" si="0"/>
        <v>008949</v>
      </c>
      <c r="K46" s="10" t="str">
        <f t="shared" si="1"/>
        <v>Natural Gas-Hydro Feed Na</v>
      </c>
      <c r="L46" s="91">
        <f t="shared" si="5"/>
        <v>0</v>
      </c>
      <c r="M46" s="91">
        <f t="shared" si="5"/>
        <v>30035.5</v>
      </c>
      <c r="N46" s="91">
        <f t="shared" si="5"/>
        <v>-30035.5</v>
      </c>
      <c r="O46" s="91">
        <f t="shared" si="5"/>
        <v>0</v>
      </c>
      <c r="P46" s="91">
        <f t="shared" si="5"/>
        <v>0</v>
      </c>
      <c r="Q46" s="91">
        <f t="shared" si="5"/>
        <v>0</v>
      </c>
      <c r="R46" s="91">
        <f t="shared" si="5"/>
        <v>0</v>
      </c>
      <c r="T46" s="10" t="str">
        <f t="shared" si="3"/>
        <v>0Natur</v>
      </c>
      <c r="U46" s="10" t="str">
        <f t="shared" si="4"/>
        <v>Gas-Hydro Feed Na</v>
      </c>
    </row>
    <row r="47" spans="1:21" ht="15">
      <c r="A47" s="71" t="s">
        <v>131</v>
      </c>
      <c r="B47" s="72"/>
      <c r="C47" s="72"/>
      <c r="D47" s="72">
        <v>195839</v>
      </c>
      <c r="E47" s="72"/>
      <c r="F47" s="72"/>
      <c r="G47" s="72">
        <v>195839</v>
      </c>
      <c r="H47" s="72"/>
      <c r="J47" s="10" t="str">
        <f t="shared" si="0"/>
        <v>008951</v>
      </c>
      <c r="K47" s="10" t="str">
        <f t="shared" si="1"/>
        <v xml:space="preserve">Refinery Fuel Gas </v>
      </c>
      <c r="L47" s="91">
        <f t="shared" si="5"/>
        <v>0</v>
      </c>
      <c r="M47" s="91">
        <f t="shared" si="5"/>
        <v>0</v>
      </c>
      <c r="N47" s="91">
        <f t="shared" si="5"/>
        <v>97919.5</v>
      </c>
      <c r="O47" s="91">
        <f t="shared" si="5"/>
        <v>0</v>
      </c>
      <c r="P47" s="91">
        <f t="shared" si="5"/>
        <v>0</v>
      </c>
      <c r="Q47" s="91">
        <f t="shared" si="5"/>
        <v>97919.5</v>
      </c>
      <c r="R47" s="91">
        <f t="shared" si="5"/>
        <v>0</v>
      </c>
      <c r="T47" s="10" t="str">
        <f t="shared" si="3"/>
        <v>0Refin</v>
      </c>
      <c r="U47" s="10" t="str">
        <f t="shared" si="4"/>
        <v xml:space="preserve"> Fuel Gas </v>
      </c>
    </row>
    <row r="48" spans="1:21" ht="15">
      <c r="A48" s="71" t="s">
        <v>132</v>
      </c>
      <c r="B48" s="72">
        <v>4882</v>
      </c>
      <c r="C48" s="73"/>
      <c r="D48" s="72">
        <v>25328</v>
      </c>
      <c r="E48" s="72"/>
      <c r="F48" s="73"/>
      <c r="G48" s="73"/>
      <c r="H48" s="72">
        <v>30210</v>
      </c>
      <c r="J48" s="10" t="str">
        <f t="shared" si="0"/>
        <v>024504</v>
      </c>
      <c r="K48" s="10" t="str">
        <f t="shared" si="1"/>
        <v xml:space="preserve">Untreated Kerosene </v>
      </c>
      <c r="L48" s="91">
        <f t="shared" si="5"/>
        <v>2441</v>
      </c>
      <c r="M48" s="91">
        <f t="shared" si="5"/>
        <v>0</v>
      </c>
      <c r="N48" s="91">
        <f t="shared" si="5"/>
        <v>12664</v>
      </c>
      <c r="O48" s="91">
        <f t="shared" si="5"/>
        <v>0</v>
      </c>
      <c r="P48" s="91">
        <f t="shared" si="5"/>
        <v>0</v>
      </c>
      <c r="Q48" s="91">
        <f t="shared" si="5"/>
        <v>0</v>
      </c>
      <c r="R48" s="91">
        <f t="shared" si="5"/>
        <v>15105</v>
      </c>
      <c r="T48" s="10" t="str">
        <f t="shared" si="3"/>
        <v>0Untre</v>
      </c>
      <c r="U48" s="10" t="str">
        <f t="shared" si="4"/>
        <v xml:space="preserve">d Kerosene </v>
      </c>
    </row>
    <row r="49" spans="1:21" ht="15">
      <c r="A49" s="71" t="s">
        <v>265</v>
      </c>
      <c r="B49" s="72">
        <v>63308</v>
      </c>
      <c r="C49" s="73"/>
      <c r="D49" s="72">
        <v>-51368</v>
      </c>
      <c r="E49" s="72"/>
      <c r="F49" s="72"/>
      <c r="G49" s="73"/>
      <c r="H49" s="72">
        <v>11940</v>
      </c>
      <c r="J49" s="10" t="str">
        <f t="shared" si="0"/>
        <v>026647</v>
      </c>
      <c r="K49" s="10" t="str">
        <f t="shared" si="1"/>
        <v>BG PUL 90 RVP&gt;7.8 CONV ET</v>
      </c>
      <c r="L49" s="91">
        <f t="shared" si="5"/>
        <v>31654</v>
      </c>
      <c r="M49" s="91">
        <f t="shared" si="5"/>
        <v>0</v>
      </c>
      <c r="N49" s="91">
        <f t="shared" si="5"/>
        <v>-25684</v>
      </c>
      <c r="O49" s="91">
        <f t="shared" si="5"/>
        <v>0</v>
      </c>
      <c r="P49" s="91">
        <f t="shared" si="5"/>
        <v>0</v>
      </c>
      <c r="Q49" s="91">
        <f t="shared" si="5"/>
        <v>0</v>
      </c>
      <c r="R49" s="91">
        <f t="shared" si="5"/>
        <v>5970</v>
      </c>
      <c r="T49" s="10" t="str">
        <f t="shared" si="3"/>
        <v>0BG PU</v>
      </c>
      <c r="U49" s="10" t="str">
        <f t="shared" si="4"/>
        <v>0 RVP&gt;7.8 CONV ET</v>
      </c>
    </row>
    <row r="50" spans="1:21" ht="15">
      <c r="A50" s="71" t="s">
        <v>285</v>
      </c>
      <c r="B50" s="72"/>
      <c r="C50" s="73"/>
      <c r="D50" s="72">
        <v>30</v>
      </c>
      <c r="E50" s="72"/>
      <c r="F50" s="73">
        <v>30</v>
      </c>
      <c r="G50" s="73"/>
      <c r="H50" s="72"/>
      <c r="J50" s="10" t="str">
        <f t="shared" si="0"/>
        <v>026668</v>
      </c>
      <c r="K50" s="10" t="str">
        <f t="shared" si="1"/>
        <v>Winter RBOB - 10% Ethanol</v>
      </c>
      <c r="L50" s="91">
        <f t="shared" si="5"/>
        <v>0</v>
      </c>
      <c r="M50" s="91">
        <f t="shared" si="5"/>
        <v>0</v>
      </c>
      <c r="N50" s="91">
        <f t="shared" si="5"/>
        <v>15</v>
      </c>
      <c r="O50" s="91">
        <f t="shared" si="5"/>
        <v>0</v>
      </c>
      <c r="P50" s="91">
        <f t="shared" si="5"/>
        <v>15</v>
      </c>
      <c r="Q50" s="91">
        <f t="shared" si="5"/>
        <v>0</v>
      </c>
      <c r="R50" s="91">
        <f t="shared" si="5"/>
        <v>0</v>
      </c>
      <c r="T50" s="10" t="str">
        <f t="shared" si="3"/>
        <v>0Winte</v>
      </c>
      <c r="U50" s="10" t="str">
        <f t="shared" si="4"/>
        <v>BOB - 10% Ethanol</v>
      </c>
    </row>
    <row r="51" spans="1:21" ht="15">
      <c r="A51" s="71" t="s">
        <v>133</v>
      </c>
      <c r="B51" s="72">
        <v>162802</v>
      </c>
      <c r="C51" s="73"/>
      <c r="D51" s="72">
        <v>513018</v>
      </c>
      <c r="E51" s="72">
        <v>579118</v>
      </c>
      <c r="F51" s="72">
        <v>366</v>
      </c>
      <c r="G51" s="73"/>
      <c r="H51" s="72">
        <v>96336</v>
      </c>
      <c r="J51" s="10" t="str">
        <f t="shared" si="0"/>
        <v>026672</v>
      </c>
      <c r="K51" s="10" t="str">
        <f t="shared" si="1"/>
        <v xml:space="preserve">Shell Turbine Fuel JP-5 </v>
      </c>
      <c r="L51" s="91">
        <f t="shared" si="5"/>
        <v>81401</v>
      </c>
      <c r="M51" s="91">
        <f t="shared" si="5"/>
        <v>0</v>
      </c>
      <c r="N51" s="91">
        <f t="shared" si="5"/>
        <v>256509</v>
      </c>
      <c r="O51" s="91">
        <f t="shared" si="5"/>
        <v>289559</v>
      </c>
      <c r="P51" s="91">
        <f t="shared" si="5"/>
        <v>183</v>
      </c>
      <c r="Q51" s="91">
        <f t="shared" si="5"/>
        <v>0</v>
      </c>
      <c r="R51" s="91">
        <f t="shared" si="5"/>
        <v>48168</v>
      </c>
      <c r="T51" s="10" t="str">
        <f t="shared" si="3"/>
        <v>0Shell</v>
      </c>
      <c r="U51" s="10" t="str">
        <f t="shared" si="4"/>
        <v xml:space="preserve">rbine Fuel JP-5 </v>
      </c>
    </row>
    <row r="52" spans="1:21" ht="15">
      <c r="A52" s="71" t="s">
        <v>262</v>
      </c>
      <c r="B52" s="72">
        <v>237108</v>
      </c>
      <c r="C52" s="72">
        <v>100000</v>
      </c>
      <c r="D52" s="72">
        <v>944543</v>
      </c>
      <c r="E52" s="72">
        <v>1020338</v>
      </c>
      <c r="F52" s="72">
        <v>1693</v>
      </c>
      <c r="G52" s="73"/>
      <c r="H52" s="72">
        <v>259620</v>
      </c>
      <c r="J52" s="10" t="str">
        <f t="shared" si="0"/>
        <v>026797</v>
      </c>
      <c r="K52" s="10" t="str">
        <f t="shared" si="1"/>
        <v>Summer RBOB - 10% Ethanol</v>
      </c>
      <c r="L52" s="91">
        <f t="shared" si="5"/>
        <v>118554</v>
      </c>
      <c r="M52" s="91">
        <f t="shared" si="5"/>
        <v>50000</v>
      </c>
      <c r="N52" s="91">
        <f t="shared" ref="N52:R90" si="6">ROUND(D52/2,2)</f>
        <v>472271.5</v>
      </c>
      <c r="O52" s="91">
        <f t="shared" si="6"/>
        <v>510169</v>
      </c>
      <c r="P52" s="91">
        <f t="shared" si="6"/>
        <v>846.5</v>
      </c>
      <c r="Q52" s="91">
        <f t="shared" si="6"/>
        <v>0</v>
      </c>
      <c r="R52" s="91">
        <f t="shared" si="6"/>
        <v>129810</v>
      </c>
      <c r="T52" s="10" t="str">
        <f t="shared" si="3"/>
        <v>0Summe</v>
      </c>
      <c r="U52" s="10" t="str">
        <f t="shared" si="4"/>
        <v>BOB - 10% Ethanol</v>
      </c>
    </row>
    <row r="53" spans="1:21" ht="15">
      <c r="A53" s="71" t="s">
        <v>19</v>
      </c>
      <c r="B53" s="72">
        <v>236463</v>
      </c>
      <c r="C53" s="73"/>
      <c r="D53" s="72">
        <v>1334373</v>
      </c>
      <c r="E53" s="72">
        <v>1325161</v>
      </c>
      <c r="F53" s="73"/>
      <c r="G53" s="73"/>
      <c r="H53" s="72">
        <v>245675</v>
      </c>
      <c r="J53" s="10" t="str">
        <f t="shared" si="0"/>
        <v>026858</v>
      </c>
      <c r="K53" s="10" t="str">
        <f t="shared" si="1"/>
        <v xml:space="preserve">PMI Gasoline </v>
      </c>
      <c r="L53" s="91">
        <f t="shared" ref="L53:M90" si="7">ROUND(B53/2,2)</f>
        <v>118231.5</v>
      </c>
      <c r="M53" s="91">
        <f t="shared" si="7"/>
        <v>0</v>
      </c>
      <c r="N53" s="91">
        <f t="shared" si="6"/>
        <v>667186.5</v>
      </c>
      <c r="O53" s="91">
        <f t="shared" si="6"/>
        <v>662580.5</v>
      </c>
      <c r="P53" s="91">
        <f t="shared" si="6"/>
        <v>0</v>
      </c>
      <c r="Q53" s="91">
        <f t="shared" si="6"/>
        <v>0</v>
      </c>
      <c r="R53" s="91">
        <f t="shared" si="6"/>
        <v>122837.5</v>
      </c>
      <c r="T53" s="10" t="str">
        <f t="shared" si="3"/>
        <v>0PMI G</v>
      </c>
      <c r="U53" s="10" t="str">
        <f t="shared" si="4"/>
        <v xml:space="preserve">line </v>
      </c>
    </row>
    <row r="54" spans="1:21" ht="15">
      <c r="A54" s="71" t="s">
        <v>134</v>
      </c>
      <c r="B54" s="72">
        <v>214213</v>
      </c>
      <c r="C54" s="73"/>
      <c r="D54" s="72">
        <v>2735973</v>
      </c>
      <c r="E54" s="72">
        <v>2635787</v>
      </c>
      <c r="F54" s="72">
        <v>-1199</v>
      </c>
      <c r="G54" s="73"/>
      <c r="H54" s="72">
        <v>315598</v>
      </c>
      <c r="J54" s="10" t="str">
        <f t="shared" si="0"/>
        <v>027101</v>
      </c>
      <c r="K54" s="10" t="str">
        <f t="shared" si="1"/>
        <v xml:space="preserve">GN Ultra LS Diesel 2S-15 </v>
      </c>
      <c r="L54" s="91">
        <f t="shared" si="7"/>
        <v>107106.5</v>
      </c>
      <c r="M54" s="91">
        <f t="shared" si="7"/>
        <v>0</v>
      </c>
      <c r="N54" s="91">
        <f t="shared" si="6"/>
        <v>1367986.5</v>
      </c>
      <c r="O54" s="91">
        <f t="shared" si="6"/>
        <v>1317893.5</v>
      </c>
      <c r="P54" s="91">
        <f t="shared" si="6"/>
        <v>-599.5</v>
      </c>
      <c r="Q54" s="91">
        <f t="shared" si="6"/>
        <v>0</v>
      </c>
      <c r="R54" s="91">
        <f t="shared" si="6"/>
        <v>157799</v>
      </c>
      <c r="T54" s="10" t="str">
        <f t="shared" si="3"/>
        <v>0GN Ul</v>
      </c>
      <c r="U54" s="10" t="str">
        <f t="shared" si="4"/>
        <v xml:space="preserve"> LS Diesel 2S-15 </v>
      </c>
    </row>
    <row r="55" spans="1:21" ht="15">
      <c r="A55" s="71" t="s">
        <v>135</v>
      </c>
      <c r="B55" s="72">
        <v>86105</v>
      </c>
      <c r="C55" s="72"/>
      <c r="D55" s="72">
        <v>-593</v>
      </c>
      <c r="E55" s="73"/>
      <c r="F55" s="73"/>
      <c r="G55" s="73"/>
      <c r="H55" s="72">
        <v>85512</v>
      </c>
      <c r="J55" s="10" t="str">
        <f t="shared" si="0"/>
        <v>034201</v>
      </c>
      <c r="K55" s="10" t="str">
        <f t="shared" si="1"/>
        <v xml:space="preserve">Gas Blend Naphtha DPMC </v>
      </c>
      <c r="L55" s="91">
        <f t="shared" si="7"/>
        <v>43052.5</v>
      </c>
      <c r="M55" s="91">
        <f t="shared" si="7"/>
        <v>0</v>
      </c>
      <c r="N55" s="91">
        <f t="shared" si="6"/>
        <v>-296.5</v>
      </c>
      <c r="O55" s="91">
        <f t="shared" si="6"/>
        <v>0</v>
      </c>
      <c r="P55" s="91">
        <f t="shared" si="6"/>
        <v>0</v>
      </c>
      <c r="Q55" s="91">
        <f t="shared" si="6"/>
        <v>0</v>
      </c>
      <c r="R55" s="91">
        <f t="shared" si="6"/>
        <v>42756</v>
      </c>
      <c r="T55" s="10" t="str">
        <f t="shared" si="3"/>
        <v>0Gas B</v>
      </c>
      <c r="U55" s="10" t="str">
        <f t="shared" si="4"/>
        <v xml:space="preserve">d Naphtha DPMC </v>
      </c>
    </row>
    <row r="56" spans="1:21" ht="15">
      <c r="A56" s="71" t="s">
        <v>245</v>
      </c>
      <c r="B56" s="72">
        <v>24450</v>
      </c>
      <c r="C56" s="73"/>
      <c r="D56" s="72">
        <v>137158</v>
      </c>
      <c r="E56" s="72">
        <v>56050</v>
      </c>
      <c r="F56" s="73"/>
      <c r="G56" s="73"/>
      <c r="H56" s="72">
        <v>105558</v>
      </c>
      <c r="J56" s="10" t="str">
        <f t="shared" si="0"/>
        <v>034203</v>
      </c>
      <c r="K56" s="10" t="str">
        <f t="shared" si="1"/>
        <v xml:space="preserve">Sales Naphtha </v>
      </c>
      <c r="L56" s="91">
        <f t="shared" si="7"/>
        <v>12225</v>
      </c>
      <c r="M56" s="91">
        <f t="shared" si="7"/>
        <v>0</v>
      </c>
      <c r="N56" s="91">
        <f t="shared" si="6"/>
        <v>68579</v>
      </c>
      <c r="O56" s="91">
        <f t="shared" si="6"/>
        <v>28025</v>
      </c>
      <c r="P56" s="91">
        <f t="shared" si="6"/>
        <v>0</v>
      </c>
      <c r="Q56" s="91">
        <f t="shared" si="6"/>
        <v>0</v>
      </c>
      <c r="R56" s="91">
        <f t="shared" si="6"/>
        <v>52779</v>
      </c>
      <c r="T56" s="10" t="str">
        <f t="shared" si="3"/>
        <v>0Sales</v>
      </c>
      <c r="U56" s="10" t="str">
        <f t="shared" si="4"/>
        <v xml:space="preserve">phtha </v>
      </c>
    </row>
    <row r="57" spans="1:21" ht="15">
      <c r="A57" s="71" t="s">
        <v>136</v>
      </c>
      <c r="B57" s="72">
        <v>35461</v>
      </c>
      <c r="C57" s="72"/>
      <c r="D57" s="72">
        <v>-8535</v>
      </c>
      <c r="E57" s="72"/>
      <c r="F57" s="73"/>
      <c r="G57" s="73"/>
      <c r="H57" s="72">
        <v>26926</v>
      </c>
      <c r="J57" s="10" t="str">
        <f t="shared" si="0"/>
        <v>034214</v>
      </c>
      <c r="K57" s="10" t="str">
        <f t="shared" si="1"/>
        <v xml:space="preserve">Pyrolysis Heavy Gasoline </v>
      </c>
      <c r="L57" s="91">
        <f t="shared" si="7"/>
        <v>17730.5</v>
      </c>
      <c r="M57" s="91">
        <f t="shared" si="7"/>
        <v>0</v>
      </c>
      <c r="N57" s="91">
        <f t="shared" si="6"/>
        <v>-4267.5</v>
      </c>
      <c r="O57" s="91">
        <f t="shared" si="6"/>
        <v>0</v>
      </c>
      <c r="P57" s="91">
        <f t="shared" si="6"/>
        <v>0</v>
      </c>
      <c r="Q57" s="91">
        <f t="shared" si="6"/>
        <v>0</v>
      </c>
      <c r="R57" s="91">
        <f t="shared" si="6"/>
        <v>13463</v>
      </c>
      <c r="T57" s="10" t="str">
        <f t="shared" si="3"/>
        <v>0Pyrol</v>
      </c>
      <c r="U57" s="10" t="str">
        <f t="shared" si="4"/>
        <v xml:space="preserve">s Heavy Gasoline </v>
      </c>
    </row>
    <row r="58" spans="1:21" ht="15">
      <c r="A58" s="71" t="s">
        <v>137</v>
      </c>
      <c r="B58" s="72">
        <v>253088</v>
      </c>
      <c r="C58" s="73"/>
      <c r="D58" s="72">
        <v>-19867</v>
      </c>
      <c r="E58" s="72"/>
      <c r="F58" s="73"/>
      <c r="G58" s="73"/>
      <c r="H58" s="72">
        <v>233221</v>
      </c>
      <c r="J58" s="10" t="str">
        <f t="shared" si="0"/>
        <v>036515</v>
      </c>
      <c r="K58" s="10" t="str">
        <f t="shared" si="1"/>
        <v>Med Sulfur Cat Cracked Fe</v>
      </c>
      <c r="L58" s="91">
        <f t="shared" si="7"/>
        <v>126544</v>
      </c>
      <c r="M58" s="91">
        <f t="shared" si="7"/>
        <v>0</v>
      </c>
      <c r="N58" s="91">
        <f t="shared" si="6"/>
        <v>-9933.5</v>
      </c>
      <c r="O58" s="91">
        <f t="shared" si="6"/>
        <v>0</v>
      </c>
      <c r="P58" s="91">
        <f t="shared" si="6"/>
        <v>0</v>
      </c>
      <c r="Q58" s="91">
        <f t="shared" si="6"/>
        <v>0</v>
      </c>
      <c r="R58" s="91">
        <f t="shared" si="6"/>
        <v>116610.5</v>
      </c>
      <c r="T58" s="10" t="str">
        <f t="shared" si="3"/>
        <v>0Med S</v>
      </c>
      <c r="U58" s="10" t="str">
        <f t="shared" si="4"/>
        <v>ur Cat Cracked Fe</v>
      </c>
    </row>
    <row r="59" spans="1:21" ht="15">
      <c r="A59" s="71" t="s">
        <v>286</v>
      </c>
      <c r="B59" s="72"/>
      <c r="C59" s="73"/>
      <c r="D59" s="72">
        <v>99633</v>
      </c>
      <c r="E59" s="72">
        <v>99633</v>
      </c>
      <c r="F59" s="73"/>
      <c r="G59" s="73"/>
      <c r="H59" s="72"/>
      <c r="J59" s="10" t="str">
        <f t="shared" si="0"/>
        <v>041055</v>
      </c>
      <c r="K59" s="10" t="str">
        <f t="shared" si="1"/>
        <v xml:space="preserve">BG PUL 91.4 RVP&gt;7.8 CBOB </v>
      </c>
      <c r="L59" s="91">
        <f t="shared" si="7"/>
        <v>0</v>
      </c>
      <c r="M59" s="91">
        <f t="shared" si="7"/>
        <v>0</v>
      </c>
      <c r="N59" s="91">
        <f t="shared" si="6"/>
        <v>49816.5</v>
      </c>
      <c r="O59" s="91">
        <f t="shared" si="6"/>
        <v>49816.5</v>
      </c>
      <c r="P59" s="91">
        <f t="shared" si="6"/>
        <v>0</v>
      </c>
      <c r="Q59" s="91">
        <f t="shared" si="6"/>
        <v>0</v>
      </c>
      <c r="R59" s="91">
        <f t="shared" si="6"/>
        <v>0</v>
      </c>
      <c r="T59" s="10" t="str">
        <f t="shared" si="3"/>
        <v>0BG PU</v>
      </c>
      <c r="U59" s="10" t="str">
        <f t="shared" si="4"/>
        <v xml:space="preserve">1.4 RVP&gt;7.8 CBOB </v>
      </c>
    </row>
    <row r="60" spans="1:21" ht="15">
      <c r="A60" s="71" t="s">
        <v>138</v>
      </c>
      <c r="B60" s="72">
        <v>274528</v>
      </c>
      <c r="C60" s="73"/>
      <c r="D60" s="72">
        <v>1341568</v>
      </c>
      <c r="E60" s="72">
        <v>1531954</v>
      </c>
      <c r="F60" s="73"/>
      <c r="G60" s="73"/>
      <c r="H60" s="72">
        <v>84142</v>
      </c>
      <c r="J60" s="10" t="str">
        <f t="shared" si="0"/>
        <v>041315</v>
      </c>
      <c r="K60" s="10" t="str">
        <f t="shared" si="1"/>
        <v xml:space="preserve">Residual Blendstock </v>
      </c>
      <c r="L60" s="91">
        <f t="shared" si="7"/>
        <v>137264</v>
      </c>
      <c r="M60" s="91">
        <f t="shared" si="7"/>
        <v>0</v>
      </c>
      <c r="N60" s="91">
        <f t="shared" si="6"/>
        <v>670784</v>
      </c>
      <c r="O60" s="91">
        <f t="shared" si="6"/>
        <v>765977</v>
      </c>
      <c r="P60" s="91">
        <f t="shared" si="6"/>
        <v>0</v>
      </c>
      <c r="Q60" s="91">
        <f t="shared" si="6"/>
        <v>0</v>
      </c>
      <c r="R60" s="91">
        <f t="shared" si="6"/>
        <v>42071</v>
      </c>
      <c r="T60" s="10" t="str">
        <f t="shared" si="3"/>
        <v>0Resid</v>
      </c>
      <c r="U60" s="10" t="str">
        <f t="shared" si="4"/>
        <v xml:space="preserve"> Blendstock </v>
      </c>
    </row>
    <row r="61" spans="1:21" ht="15">
      <c r="A61" s="71" t="s">
        <v>208</v>
      </c>
      <c r="B61" s="72">
        <v>48360</v>
      </c>
      <c r="C61" s="72">
        <v>500915</v>
      </c>
      <c r="D61" s="72">
        <v>-476223</v>
      </c>
      <c r="E61" s="72"/>
      <c r="F61" s="73">
        <v>-693</v>
      </c>
      <c r="G61" s="73"/>
      <c r="H61" s="72">
        <v>73744</v>
      </c>
      <c r="J61" s="10" t="str">
        <f t="shared" si="0"/>
        <v>041430</v>
      </c>
      <c r="K61" s="10" t="str">
        <f t="shared" si="1"/>
        <v xml:space="preserve">Misc Cutter Stock </v>
      </c>
      <c r="L61" s="91">
        <f t="shared" si="7"/>
        <v>24180</v>
      </c>
      <c r="M61" s="91">
        <f t="shared" si="7"/>
        <v>250457.5</v>
      </c>
      <c r="N61" s="91">
        <f t="shared" si="6"/>
        <v>-238111.5</v>
      </c>
      <c r="O61" s="91">
        <f t="shared" si="6"/>
        <v>0</v>
      </c>
      <c r="P61" s="91">
        <f t="shared" si="6"/>
        <v>-346.5</v>
      </c>
      <c r="Q61" s="91">
        <f t="shared" si="6"/>
        <v>0</v>
      </c>
      <c r="R61" s="91">
        <f t="shared" si="6"/>
        <v>36872</v>
      </c>
      <c r="T61" s="10" t="str">
        <f t="shared" si="3"/>
        <v xml:space="preserve">0Misc </v>
      </c>
      <c r="U61" s="10" t="str">
        <f t="shared" si="4"/>
        <v xml:space="preserve">ter Stock </v>
      </c>
    </row>
    <row r="62" spans="1:21" ht="15">
      <c r="A62" s="71" t="s">
        <v>252</v>
      </c>
      <c r="B62" s="72">
        <v>27015</v>
      </c>
      <c r="C62" s="73"/>
      <c r="D62" s="72">
        <v>2348</v>
      </c>
      <c r="E62" s="73"/>
      <c r="F62" s="73"/>
      <c r="G62" s="73"/>
      <c r="H62" s="72">
        <v>29363</v>
      </c>
      <c r="J62" s="10" t="str">
        <f t="shared" ref="J62:J87" si="8">CONCATENATE(0,LEFT(A62,5))</f>
        <v>041604</v>
      </c>
      <c r="K62" s="10" t="str">
        <f t="shared" ref="K62:K87" si="9">MID(A62,9,25)</f>
        <v xml:space="preserve">Vaccum Flasher Pitch </v>
      </c>
      <c r="L62" s="91">
        <f t="shared" si="7"/>
        <v>13507.5</v>
      </c>
      <c r="M62" s="91">
        <f t="shared" si="7"/>
        <v>0</v>
      </c>
      <c r="N62" s="91">
        <f t="shared" si="6"/>
        <v>1174</v>
      </c>
      <c r="O62" s="91">
        <f t="shared" si="6"/>
        <v>0</v>
      </c>
      <c r="P62" s="91">
        <f t="shared" si="6"/>
        <v>0</v>
      </c>
      <c r="Q62" s="91">
        <f t="shared" si="6"/>
        <v>0</v>
      </c>
      <c r="R62" s="91">
        <f t="shared" si="6"/>
        <v>14681.5</v>
      </c>
      <c r="T62" s="10" t="str">
        <f t="shared" si="3"/>
        <v>0Vaccu</v>
      </c>
      <c r="U62" s="10" t="str">
        <f t="shared" si="4"/>
        <v xml:space="preserve">lasher Pitch </v>
      </c>
    </row>
    <row r="63" spans="1:21" ht="15">
      <c r="A63" s="71" t="s">
        <v>266</v>
      </c>
      <c r="B63" s="72">
        <v>7390</v>
      </c>
      <c r="C63" s="72">
        <v>996902</v>
      </c>
      <c r="D63" s="72">
        <v>-469266</v>
      </c>
      <c r="E63" s="73"/>
      <c r="F63" s="73"/>
      <c r="G63" s="72"/>
      <c r="H63" s="72">
        <v>535026</v>
      </c>
      <c r="J63" s="10" t="str">
        <f t="shared" si="8"/>
        <v>050029</v>
      </c>
      <c r="K63" s="10" t="str">
        <f t="shared" si="9"/>
        <v xml:space="preserve">Forcados </v>
      </c>
      <c r="L63" s="91">
        <f t="shared" si="7"/>
        <v>3695</v>
      </c>
      <c r="M63" s="91">
        <f t="shared" si="7"/>
        <v>498451</v>
      </c>
      <c r="N63" s="91">
        <f t="shared" si="6"/>
        <v>-234633</v>
      </c>
      <c r="O63" s="91">
        <f t="shared" si="6"/>
        <v>0</v>
      </c>
      <c r="P63" s="91">
        <f t="shared" si="6"/>
        <v>0</v>
      </c>
      <c r="Q63" s="91">
        <f t="shared" si="6"/>
        <v>0</v>
      </c>
      <c r="R63" s="91">
        <f t="shared" si="6"/>
        <v>267513</v>
      </c>
      <c r="T63" s="10" t="str">
        <f t="shared" si="3"/>
        <v>0Forca</v>
      </c>
      <c r="U63" s="10" t="str">
        <f t="shared" si="4"/>
        <v xml:space="preserve"> </v>
      </c>
    </row>
    <row r="64" spans="1:21" ht="15">
      <c r="A64" s="71" t="s">
        <v>241</v>
      </c>
      <c r="B64" s="72">
        <v>72900</v>
      </c>
      <c r="C64" s="73"/>
      <c r="D64" s="72">
        <v>537</v>
      </c>
      <c r="E64" s="73"/>
      <c r="F64" s="73"/>
      <c r="G64" s="73"/>
      <c r="H64" s="72">
        <v>73437</v>
      </c>
      <c r="J64" s="10" t="str">
        <f t="shared" si="8"/>
        <v>050351</v>
      </c>
      <c r="K64" s="10" t="str">
        <f t="shared" si="9"/>
        <v xml:space="preserve">Low Sulfur Cat Gasoline </v>
      </c>
      <c r="L64" s="91">
        <f t="shared" si="7"/>
        <v>36450</v>
      </c>
      <c r="M64" s="91">
        <f t="shared" si="7"/>
        <v>0</v>
      </c>
      <c r="N64" s="91">
        <f t="shared" si="6"/>
        <v>268.5</v>
      </c>
      <c r="O64" s="91">
        <f t="shared" si="6"/>
        <v>0</v>
      </c>
      <c r="P64" s="91">
        <f t="shared" si="6"/>
        <v>0</v>
      </c>
      <c r="Q64" s="91">
        <f t="shared" si="6"/>
        <v>0</v>
      </c>
      <c r="R64" s="91">
        <f t="shared" si="6"/>
        <v>36718.5</v>
      </c>
      <c r="T64" s="10" t="str">
        <f t="shared" si="3"/>
        <v>0Low S</v>
      </c>
      <c r="U64" s="10" t="str">
        <f t="shared" si="4"/>
        <v xml:space="preserve">ur Cat Gasoline </v>
      </c>
    </row>
    <row r="65" spans="1:21" ht="15">
      <c r="A65" s="71" t="s">
        <v>139</v>
      </c>
      <c r="B65" s="72">
        <v>60639</v>
      </c>
      <c r="C65" s="72"/>
      <c r="D65" s="72">
        <v>97214</v>
      </c>
      <c r="E65" s="72">
        <v>49234</v>
      </c>
      <c r="F65" s="72"/>
      <c r="G65" s="73"/>
      <c r="H65" s="72">
        <v>108618</v>
      </c>
      <c r="J65" s="10" t="str">
        <f t="shared" si="8"/>
        <v>050360</v>
      </c>
      <c r="K65" s="10" t="str">
        <f t="shared" si="9"/>
        <v xml:space="preserve">Reformate for Blending </v>
      </c>
      <c r="L65" s="91">
        <f t="shared" si="7"/>
        <v>30319.5</v>
      </c>
      <c r="M65" s="91">
        <f t="shared" si="7"/>
        <v>0</v>
      </c>
      <c r="N65" s="91">
        <f t="shared" si="6"/>
        <v>48607</v>
      </c>
      <c r="O65" s="91">
        <f t="shared" si="6"/>
        <v>24617</v>
      </c>
      <c r="P65" s="91">
        <f t="shared" si="6"/>
        <v>0</v>
      </c>
      <c r="Q65" s="91">
        <f t="shared" si="6"/>
        <v>0</v>
      </c>
      <c r="R65" s="91">
        <f t="shared" si="6"/>
        <v>54309</v>
      </c>
      <c r="T65" s="10" t="str">
        <f t="shared" si="3"/>
        <v>0Refor</v>
      </c>
      <c r="U65" s="10" t="str">
        <f t="shared" si="4"/>
        <v xml:space="preserve">e for Blending </v>
      </c>
    </row>
    <row r="66" spans="1:21" ht="15">
      <c r="A66" s="71" t="s">
        <v>140</v>
      </c>
      <c r="B66" s="72">
        <v>90777</v>
      </c>
      <c r="C66" s="72"/>
      <c r="D66" s="72">
        <v>-16108</v>
      </c>
      <c r="E66" s="73"/>
      <c r="F66" s="73"/>
      <c r="G66" s="73"/>
      <c r="H66" s="72">
        <v>74669</v>
      </c>
      <c r="J66" s="10" t="str">
        <f t="shared" si="8"/>
        <v>050362</v>
      </c>
      <c r="K66" s="10" t="str">
        <f t="shared" si="9"/>
        <v>Light High Octane Platfor</v>
      </c>
      <c r="L66" s="91">
        <f t="shared" si="7"/>
        <v>45388.5</v>
      </c>
      <c r="M66" s="91">
        <f t="shared" si="7"/>
        <v>0</v>
      </c>
      <c r="N66" s="91">
        <f t="shared" si="6"/>
        <v>-8054</v>
      </c>
      <c r="O66" s="91">
        <f t="shared" si="6"/>
        <v>0</v>
      </c>
      <c r="P66" s="91">
        <f t="shared" si="6"/>
        <v>0</v>
      </c>
      <c r="Q66" s="91">
        <f t="shared" si="6"/>
        <v>0</v>
      </c>
      <c r="R66" s="91">
        <f t="shared" si="6"/>
        <v>37334.5</v>
      </c>
      <c r="T66" s="10" t="str">
        <f t="shared" ref="T66:T90" si="10">CONCATENATE(0,LEFT(K66,5))</f>
        <v>0Light</v>
      </c>
      <c r="U66" s="10" t="str">
        <f t="shared" ref="U66:U90" si="11">MID(K66,9,25)</f>
        <v>gh Octane Platfor</v>
      </c>
    </row>
    <row r="67" spans="1:21" ht="15">
      <c r="A67" s="71" t="s">
        <v>141</v>
      </c>
      <c r="B67" s="72">
        <v>95602</v>
      </c>
      <c r="C67" s="72"/>
      <c r="D67" s="72">
        <v>35046</v>
      </c>
      <c r="E67" s="72"/>
      <c r="F67" s="73"/>
      <c r="G67" s="73"/>
      <c r="H67" s="72">
        <v>130648</v>
      </c>
      <c r="J67" s="10" t="str">
        <f t="shared" si="8"/>
        <v>050364</v>
      </c>
      <c r="K67" s="10" t="str">
        <f t="shared" si="9"/>
        <v xml:space="preserve">CR-3 Feed </v>
      </c>
      <c r="L67" s="91">
        <f t="shared" si="7"/>
        <v>47801</v>
      </c>
      <c r="M67" s="91">
        <f t="shared" si="7"/>
        <v>0</v>
      </c>
      <c r="N67" s="91">
        <f t="shared" si="6"/>
        <v>17523</v>
      </c>
      <c r="O67" s="91">
        <f t="shared" si="6"/>
        <v>0</v>
      </c>
      <c r="P67" s="91">
        <f t="shared" si="6"/>
        <v>0</v>
      </c>
      <c r="Q67" s="91">
        <f t="shared" si="6"/>
        <v>0</v>
      </c>
      <c r="R67" s="91">
        <f t="shared" si="6"/>
        <v>65324</v>
      </c>
      <c r="T67" s="10" t="str">
        <f t="shared" si="10"/>
        <v xml:space="preserve">0CR-3 </v>
      </c>
      <c r="U67" s="10" t="str">
        <f t="shared" si="11"/>
        <v xml:space="preserve">d </v>
      </c>
    </row>
    <row r="68" spans="1:21" ht="15">
      <c r="A68" s="71" t="s">
        <v>91</v>
      </c>
      <c r="B68" s="72">
        <v>1280873</v>
      </c>
      <c r="C68" s="72">
        <v>499886</v>
      </c>
      <c r="D68" s="72">
        <v>-1227314</v>
      </c>
      <c r="E68" s="72"/>
      <c r="F68" s="73"/>
      <c r="G68" s="73"/>
      <c r="H68" s="72">
        <v>553446</v>
      </c>
      <c r="J68" s="10" t="str">
        <f t="shared" si="8"/>
        <v>082396</v>
      </c>
      <c r="K68" s="10" t="str">
        <f t="shared" si="9"/>
        <v xml:space="preserve">Bonga Crude </v>
      </c>
      <c r="L68" s="91">
        <f t="shared" si="7"/>
        <v>640436.5</v>
      </c>
      <c r="M68" s="91">
        <f t="shared" si="7"/>
        <v>249943</v>
      </c>
      <c r="N68" s="91">
        <f t="shared" si="6"/>
        <v>-613657</v>
      </c>
      <c r="O68" s="91">
        <f t="shared" si="6"/>
        <v>0</v>
      </c>
      <c r="P68" s="91">
        <f t="shared" si="6"/>
        <v>0</v>
      </c>
      <c r="Q68" s="91">
        <f t="shared" si="6"/>
        <v>0</v>
      </c>
      <c r="R68" s="91">
        <f t="shared" si="6"/>
        <v>276723</v>
      </c>
      <c r="T68" s="10" t="str">
        <f t="shared" si="10"/>
        <v>0Bonga</v>
      </c>
      <c r="U68" s="10" t="str">
        <f t="shared" si="11"/>
        <v xml:space="preserve">ude </v>
      </c>
    </row>
    <row r="69" spans="1:21" ht="15">
      <c r="A69" s="71" t="s">
        <v>201</v>
      </c>
      <c r="B69" s="72">
        <v>101568</v>
      </c>
      <c r="C69" s="72"/>
      <c r="D69" s="72">
        <v>4170</v>
      </c>
      <c r="E69" s="73"/>
      <c r="F69" s="73"/>
      <c r="G69" s="73"/>
      <c r="H69" s="72">
        <v>105738</v>
      </c>
      <c r="J69" s="10" t="str">
        <f t="shared" si="8"/>
        <v>086666</v>
      </c>
      <c r="K69" s="10" t="str">
        <f t="shared" si="9"/>
        <v xml:space="preserve">CD Hydro Tops </v>
      </c>
      <c r="L69" s="91">
        <f t="shared" si="7"/>
        <v>50784</v>
      </c>
      <c r="M69" s="91">
        <f t="shared" si="7"/>
        <v>0</v>
      </c>
      <c r="N69" s="91">
        <f t="shared" si="6"/>
        <v>2085</v>
      </c>
      <c r="O69" s="91">
        <f t="shared" si="6"/>
        <v>0</v>
      </c>
      <c r="P69" s="91">
        <f t="shared" si="6"/>
        <v>0</v>
      </c>
      <c r="Q69" s="91">
        <f t="shared" si="6"/>
        <v>0</v>
      </c>
      <c r="R69" s="91">
        <f t="shared" si="6"/>
        <v>52869</v>
      </c>
      <c r="T69" s="10" t="str">
        <f t="shared" si="10"/>
        <v>0CD Hy</v>
      </c>
      <c r="U69" s="10" t="str">
        <f t="shared" si="11"/>
        <v xml:space="preserve"> Tops </v>
      </c>
    </row>
    <row r="70" spans="1:21" ht="15">
      <c r="A70" s="71" t="s">
        <v>142</v>
      </c>
      <c r="B70" s="73"/>
      <c r="C70" s="72"/>
      <c r="D70" s="72">
        <v>77692</v>
      </c>
      <c r="E70" s="72">
        <v>77692</v>
      </c>
      <c r="F70" s="73"/>
      <c r="G70" s="73"/>
      <c r="H70" s="73"/>
      <c r="J70" s="10" t="str">
        <f t="shared" si="8"/>
        <v>087035</v>
      </c>
      <c r="K70" s="10" t="str">
        <f t="shared" si="9"/>
        <v xml:space="preserve">Untreated CCU Dry Gas </v>
      </c>
      <c r="L70" s="91">
        <f t="shared" si="7"/>
        <v>0</v>
      </c>
      <c r="M70" s="91">
        <f t="shared" si="7"/>
        <v>0</v>
      </c>
      <c r="N70" s="91">
        <f t="shared" si="6"/>
        <v>38846</v>
      </c>
      <c r="O70" s="91">
        <f t="shared" si="6"/>
        <v>38846</v>
      </c>
      <c r="P70" s="91">
        <f t="shared" si="6"/>
        <v>0</v>
      </c>
      <c r="Q70" s="91">
        <f t="shared" si="6"/>
        <v>0</v>
      </c>
      <c r="R70" s="91">
        <f t="shared" si="6"/>
        <v>0</v>
      </c>
      <c r="T70" s="10" t="str">
        <f t="shared" si="10"/>
        <v>0Untre</v>
      </c>
      <c r="U70" s="10" t="str">
        <f t="shared" si="11"/>
        <v xml:space="preserve">d CCU Dry Gas </v>
      </c>
    </row>
    <row r="71" spans="1:21" ht="15">
      <c r="A71" s="71" t="s">
        <v>143</v>
      </c>
      <c r="B71" s="72"/>
      <c r="C71" s="73"/>
      <c r="D71" s="72">
        <v>318549</v>
      </c>
      <c r="E71" s="72">
        <v>318549</v>
      </c>
      <c r="F71" s="73"/>
      <c r="G71" s="73"/>
      <c r="H71" s="72"/>
      <c r="J71" s="10" t="str">
        <f t="shared" si="8"/>
        <v>087040</v>
      </c>
      <c r="K71" s="10" t="str">
        <f t="shared" si="9"/>
        <v>DCU Off Gas (old-Coker/PS</v>
      </c>
      <c r="L71" s="91">
        <f t="shared" si="7"/>
        <v>0</v>
      </c>
      <c r="M71" s="91">
        <f t="shared" si="7"/>
        <v>0</v>
      </c>
      <c r="N71" s="91">
        <f t="shared" si="6"/>
        <v>159274.5</v>
      </c>
      <c r="O71" s="91">
        <f t="shared" si="6"/>
        <v>159274.5</v>
      </c>
      <c r="P71" s="91">
        <f t="shared" si="6"/>
        <v>0</v>
      </c>
      <c r="Q71" s="91">
        <f t="shared" si="6"/>
        <v>0</v>
      </c>
      <c r="R71" s="91">
        <f t="shared" si="6"/>
        <v>0</v>
      </c>
      <c r="T71" s="10" t="str">
        <f t="shared" si="10"/>
        <v>0DCU O</v>
      </c>
      <c r="U71" s="10" t="str">
        <f t="shared" si="11"/>
        <v>Gas (old-Coker/PS</v>
      </c>
    </row>
    <row r="72" spans="1:21" ht="15">
      <c r="A72" s="71" t="s">
        <v>213</v>
      </c>
      <c r="B72" s="72"/>
      <c r="C72" s="72">
        <v>13410</v>
      </c>
      <c r="D72" s="72">
        <v>-13410</v>
      </c>
      <c r="E72" s="72"/>
      <c r="F72" s="73"/>
      <c r="G72" s="73"/>
      <c r="H72" s="72"/>
      <c r="J72" s="10" t="str">
        <f t="shared" si="8"/>
        <v>087045</v>
      </c>
      <c r="K72" s="10" t="str">
        <f t="shared" si="9"/>
        <v xml:space="preserve">OP-2 PSA Hydrogen </v>
      </c>
      <c r="L72" s="91">
        <f t="shared" si="7"/>
        <v>0</v>
      </c>
      <c r="M72" s="91">
        <f t="shared" si="7"/>
        <v>6705</v>
      </c>
      <c r="N72" s="91">
        <f t="shared" si="6"/>
        <v>-6705</v>
      </c>
      <c r="O72" s="91">
        <f t="shared" si="6"/>
        <v>0</v>
      </c>
      <c r="P72" s="91">
        <f t="shared" si="6"/>
        <v>0</v>
      </c>
      <c r="Q72" s="91">
        <f t="shared" si="6"/>
        <v>0</v>
      </c>
      <c r="R72" s="91">
        <f t="shared" si="6"/>
        <v>0</v>
      </c>
      <c r="T72" s="10" t="str">
        <f t="shared" si="10"/>
        <v xml:space="preserve">0OP-2 </v>
      </c>
      <c r="U72" s="10" t="str">
        <f t="shared" si="11"/>
        <v xml:space="preserve"> Hydrogen </v>
      </c>
    </row>
    <row r="73" spans="1:21" ht="15">
      <c r="A73" s="71" t="s">
        <v>233</v>
      </c>
      <c r="B73" s="72"/>
      <c r="C73" s="72">
        <v>199940</v>
      </c>
      <c r="D73" s="72">
        <v>-199940</v>
      </c>
      <c r="E73" s="72"/>
      <c r="F73" s="72"/>
      <c r="G73" s="73"/>
      <c r="H73" s="72"/>
      <c r="J73" s="10" t="str">
        <f t="shared" si="8"/>
        <v>087466</v>
      </c>
      <c r="K73" s="10" t="str">
        <f t="shared" si="9"/>
        <v xml:space="preserve">Toluene Concentrate </v>
      </c>
      <c r="L73" s="91">
        <f t="shared" si="7"/>
        <v>0</v>
      </c>
      <c r="M73" s="91">
        <f t="shared" si="7"/>
        <v>99970</v>
      </c>
      <c r="N73" s="91">
        <f t="shared" si="6"/>
        <v>-99970</v>
      </c>
      <c r="O73" s="91">
        <f t="shared" si="6"/>
        <v>0</v>
      </c>
      <c r="P73" s="91">
        <f t="shared" si="6"/>
        <v>0</v>
      </c>
      <c r="Q73" s="91">
        <f t="shared" si="6"/>
        <v>0</v>
      </c>
      <c r="R73" s="91">
        <f t="shared" si="6"/>
        <v>0</v>
      </c>
      <c r="T73" s="10" t="str">
        <f t="shared" si="10"/>
        <v>0Tolue</v>
      </c>
      <c r="U73" s="10" t="str">
        <f t="shared" si="11"/>
        <v xml:space="preserve">Concentrate </v>
      </c>
    </row>
    <row r="74" spans="1:21" ht="15">
      <c r="A74" s="71" t="s">
        <v>144</v>
      </c>
      <c r="B74" s="72"/>
      <c r="C74" s="72"/>
      <c r="D74" s="72">
        <v>5198</v>
      </c>
      <c r="E74" s="72">
        <v>5198</v>
      </c>
      <c r="F74" s="72"/>
      <c r="G74" s="73"/>
      <c r="H74" s="72"/>
      <c r="J74" s="10" t="str">
        <f t="shared" si="8"/>
        <v>087476</v>
      </c>
      <c r="K74" s="10" t="str">
        <f t="shared" si="9"/>
        <v>BB Hytrt H2 to Chem-DPMCB</v>
      </c>
      <c r="L74" s="91">
        <f t="shared" si="7"/>
        <v>0</v>
      </c>
      <c r="M74" s="91">
        <f t="shared" si="7"/>
        <v>0</v>
      </c>
      <c r="N74" s="91">
        <f t="shared" si="6"/>
        <v>2599</v>
      </c>
      <c r="O74" s="91">
        <f t="shared" si="6"/>
        <v>2599</v>
      </c>
      <c r="P74" s="91">
        <f t="shared" si="6"/>
        <v>0</v>
      </c>
      <c r="Q74" s="91">
        <f t="shared" si="6"/>
        <v>0</v>
      </c>
      <c r="R74" s="91">
        <f t="shared" si="6"/>
        <v>0</v>
      </c>
      <c r="T74" s="10" t="str">
        <f t="shared" si="10"/>
        <v>0BB Hy</v>
      </c>
      <c r="U74" s="10" t="str">
        <f t="shared" si="11"/>
        <v xml:space="preserve"> H2 to Chem-DPMCB</v>
      </c>
    </row>
    <row r="75" spans="1:21" ht="15">
      <c r="A75" s="71" t="s">
        <v>253</v>
      </c>
      <c r="B75" s="72"/>
      <c r="C75" s="72"/>
      <c r="D75" s="72">
        <v>243</v>
      </c>
      <c r="E75" s="72">
        <v>243</v>
      </c>
      <c r="F75" s="73"/>
      <c r="G75" s="73"/>
      <c r="H75" s="72"/>
      <c r="J75" s="10" t="str">
        <f t="shared" si="8"/>
        <v>087501</v>
      </c>
      <c r="K75" s="10" t="str">
        <f t="shared" si="9"/>
        <v xml:space="preserve">Normal Butane to OP-II </v>
      </c>
      <c r="L75" s="91">
        <f t="shared" si="7"/>
        <v>0</v>
      </c>
      <c r="M75" s="91">
        <f t="shared" si="7"/>
        <v>0</v>
      </c>
      <c r="N75" s="91">
        <f t="shared" si="6"/>
        <v>121.5</v>
      </c>
      <c r="O75" s="91">
        <f t="shared" si="6"/>
        <v>121.5</v>
      </c>
      <c r="P75" s="91">
        <f t="shared" si="6"/>
        <v>0</v>
      </c>
      <c r="Q75" s="91">
        <f t="shared" si="6"/>
        <v>0</v>
      </c>
      <c r="R75" s="91">
        <f t="shared" si="6"/>
        <v>0</v>
      </c>
      <c r="T75" s="10" t="str">
        <f t="shared" si="10"/>
        <v>0Norma</v>
      </c>
      <c r="U75" s="10" t="str">
        <f t="shared" si="11"/>
        <v xml:space="preserve">utane to OP-II </v>
      </c>
    </row>
    <row r="76" spans="1:21" ht="15">
      <c r="A76" s="71" t="s">
        <v>287</v>
      </c>
      <c r="B76" s="72"/>
      <c r="C76" s="73">
        <v>377</v>
      </c>
      <c r="D76" s="72">
        <v>-377</v>
      </c>
      <c r="E76" s="72"/>
      <c r="F76" s="72"/>
      <c r="G76" s="73"/>
      <c r="H76" s="72"/>
      <c r="J76" s="10" t="str">
        <f t="shared" si="8"/>
        <v>087546</v>
      </c>
      <c r="K76" s="10" t="str">
        <f t="shared" si="9"/>
        <v xml:space="preserve">Phenol Light Ends to CCU </v>
      </c>
      <c r="L76" s="91">
        <f t="shared" si="7"/>
        <v>0</v>
      </c>
      <c r="M76" s="91">
        <f t="shared" si="7"/>
        <v>188.5</v>
      </c>
      <c r="N76" s="91">
        <f t="shared" si="6"/>
        <v>-188.5</v>
      </c>
      <c r="O76" s="91">
        <f t="shared" si="6"/>
        <v>0</v>
      </c>
      <c r="P76" s="91">
        <f t="shared" si="6"/>
        <v>0</v>
      </c>
      <c r="Q76" s="91">
        <f t="shared" si="6"/>
        <v>0</v>
      </c>
      <c r="R76" s="91">
        <f t="shared" si="6"/>
        <v>0</v>
      </c>
      <c r="T76" s="10" t="str">
        <f t="shared" si="10"/>
        <v>0Pheno</v>
      </c>
      <c r="U76" s="10" t="str">
        <f t="shared" si="11"/>
        <v xml:space="preserve">ight Ends to CCU </v>
      </c>
    </row>
    <row r="77" spans="1:21" ht="15">
      <c r="A77" s="71" t="s">
        <v>214</v>
      </c>
      <c r="B77" s="72"/>
      <c r="C77" s="72">
        <v>167818</v>
      </c>
      <c r="D77" s="72">
        <v>-167818</v>
      </c>
      <c r="E77" s="73"/>
      <c r="F77" s="73"/>
      <c r="G77" s="73"/>
      <c r="H77" s="72"/>
      <c r="J77" s="10" t="str">
        <f t="shared" si="8"/>
        <v>087547</v>
      </c>
      <c r="K77" s="10" t="str">
        <f t="shared" si="9"/>
        <v xml:space="preserve">C5 Gasoline EX HT-3 </v>
      </c>
      <c r="L77" s="91">
        <f t="shared" si="7"/>
        <v>0</v>
      </c>
      <c r="M77" s="91">
        <f t="shared" si="7"/>
        <v>83909</v>
      </c>
      <c r="N77" s="91">
        <f t="shared" si="6"/>
        <v>-83909</v>
      </c>
      <c r="O77" s="91">
        <f t="shared" si="6"/>
        <v>0</v>
      </c>
      <c r="P77" s="91">
        <f t="shared" si="6"/>
        <v>0</v>
      </c>
      <c r="Q77" s="91">
        <f t="shared" si="6"/>
        <v>0</v>
      </c>
      <c r="R77" s="91">
        <f t="shared" si="6"/>
        <v>0</v>
      </c>
      <c r="T77" s="10" t="str">
        <f t="shared" si="10"/>
        <v>0C5 Ga</v>
      </c>
      <c r="U77" s="10" t="str">
        <f t="shared" si="11"/>
        <v xml:space="preserve">ine EX HT-3 </v>
      </c>
    </row>
    <row r="78" spans="1:21" ht="15">
      <c r="A78" s="71" t="s">
        <v>236</v>
      </c>
      <c r="B78" s="72"/>
      <c r="C78" s="72">
        <v>60009</v>
      </c>
      <c r="D78" s="72">
        <v>-60009</v>
      </c>
      <c r="E78" s="73"/>
      <c r="F78" s="73"/>
      <c r="G78" s="73"/>
      <c r="H78" s="72"/>
      <c r="J78" s="10" t="str">
        <f t="shared" si="8"/>
        <v>087548</v>
      </c>
      <c r="K78" s="10" t="str">
        <f t="shared" si="9"/>
        <v xml:space="preserve">MXC4 Butylenes </v>
      </c>
      <c r="L78" s="91">
        <f t="shared" si="7"/>
        <v>0</v>
      </c>
      <c r="M78" s="91">
        <f t="shared" si="7"/>
        <v>30004.5</v>
      </c>
      <c r="N78" s="91">
        <f t="shared" si="6"/>
        <v>-30004.5</v>
      </c>
      <c r="O78" s="91">
        <f t="shared" si="6"/>
        <v>0</v>
      </c>
      <c r="P78" s="91">
        <f t="shared" si="6"/>
        <v>0</v>
      </c>
      <c r="Q78" s="91">
        <f t="shared" si="6"/>
        <v>0</v>
      </c>
      <c r="R78" s="91">
        <f t="shared" si="6"/>
        <v>0</v>
      </c>
      <c r="T78" s="10" t="str">
        <f t="shared" si="10"/>
        <v xml:space="preserve">0MXC4 </v>
      </c>
      <c r="U78" s="10" t="str">
        <f t="shared" si="11"/>
        <v xml:space="preserve">ylenes </v>
      </c>
    </row>
    <row r="79" spans="1:21" ht="15">
      <c r="A79" s="71" t="s">
        <v>145</v>
      </c>
      <c r="B79" s="72"/>
      <c r="C79" s="72">
        <v>44223</v>
      </c>
      <c r="D79" s="72">
        <v>-44223</v>
      </c>
      <c r="E79" s="72"/>
      <c r="F79" s="73"/>
      <c r="G79" s="73"/>
      <c r="H79" s="72"/>
      <c r="J79" s="10" t="str">
        <f t="shared" si="8"/>
        <v>087555</v>
      </c>
      <c r="K79" s="10" t="str">
        <f t="shared" si="9"/>
        <v xml:space="preserve">Phenol C3 TO SGP </v>
      </c>
      <c r="L79" s="91">
        <f t="shared" si="7"/>
        <v>0</v>
      </c>
      <c r="M79" s="91">
        <f t="shared" si="7"/>
        <v>22111.5</v>
      </c>
      <c r="N79" s="91">
        <f t="shared" si="6"/>
        <v>-22111.5</v>
      </c>
      <c r="O79" s="91">
        <f t="shared" si="6"/>
        <v>0</v>
      </c>
      <c r="P79" s="91">
        <f t="shared" si="6"/>
        <v>0</v>
      </c>
      <c r="Q79" s="91">
        <f t="shared" si="6"/>
        <v>0</v>
      </c>
      <c r="R79" s="91">
        <f t="shared" si="6"/>
        <v>0</v>
      </c>
      <c r="T79" s="10" t="str">
        <f t="shared" si="10"/>
        <v>0Pheno</v>
      </c>
      <c r="U79" s="10" t="str">
        <f t="shared" si="11"/>
        <v xml:space="preserve">3 TO SGP </v>
      </c>
    </row>
    <row r="80" spans="1:21" ht="15">
      <c r="A80" s="71" t="s">
        <v>146</v>
      </c>
      <c r="B80" s="72"/>
      <c r="C80" s="72"/>
      <c r="D80" s="72">
        <v>574502</v>
      </c>
      <c r="E80" s="72">
        <v>574502</v>
      </c>
      <c r="F80" s="73"/>
      <c r="G80" s="73"/>
      <c r="H80" s="72"/>
      <c r="J80" s="10" t="str">
        <f t="shared" si="8"/>
        <v>087574</v>
      </c>
      <c r="K80" s="10" t="str">
        <f t="shared" si="9"/>
        <v xml:space="preserve">CR-3 Reformate </v>
      </c>
      <c r="L80" s="91">
        <f t="shared" si="7"/>
        <v>0</v>
      </c>
      <c r="M80" s="91">
        <f t="shared" si="7"/>
        <v>0</v>
      </c>
      <c r="N80" s="91">
        <f t="shared" si="6"/>
        <v>287251</v>
      </c>
      <c r="O80" s="91">
        <f t="shared" si="6"/>
        <v>287251</v>
      </c>
      <c r="P80" s="91">
        <f t="shared" si="6"/>
        <v>0</v>
      </c>
      <c r="Q80" s="91">
        <f t="shared" si="6"/>
        <v>0</v>
      </c>
      <c r="R80" s="91">
        <f t="shared" si="6"/>
        <v>0</v>
      </c>
      <c r="T80" s="10" t="str">
        <f t="shared" si="10"/>
        <v xml:space="preserve">0CR-3 </v>
      </c>
      <c r="U80" s="10" t="str">
        <f t="shared" si="11"/>
        <v xml:space="preserve">ormate </v>
      </c>
    </row>
    <row r="81" spans="1:21" ht="15">
      <c r="A81" s="71" t="s">
        <v>274</v>
      </c>
      <c r="B81" s="72"/>
      <c r="C81" s="72"/>
      <c r="D81" s="72">
        <v>11578</v>
      </c>
      <c r="E81" s="72">
        <v>11578</v>
      </c>
      <c r="F81" s="73"/>
      <c r="G81" s="73"/>
      <c r="H81" s="72"/>
      <c r="J81" s="10" t="str">
        <f t="shared" si="8"/>
        <v>087591</v>
      </c>
      <c r="K81" s="10" t="str">
        <f t="shared" si="9"/>
        <v xml:space="preserve">Low Sulfur Diesel </v>
      </c>
      <c r="L81" s="91">
        <f t="shared" si="7"/>
        <v>0</v>
      </c>
      <c r="M81" s="91">
        <f t="shared" si="7"/>
        <v>0</v>
      </c>
      <c r="N81" s="91">
        <f t="shared" si="6"/>
        <v>5789</v>
      </c>
      <c r="O81" s="91">
        <f t="shared" si="6"/>
        <v>5789</v>
      </c>
      <c r="P81" s="91">
        <f t="shared" si="6"/>
        <v>0</v>
      </c>
      <c r="Q81" s="91">
        <f t="shared" si="6"/>
        <v>0</v>
      </c>
      <c r="R81" s="91">
        <f t="shared" si="6"/>
        <v>0</v>
      </c>
      <c r="T81" s="10" t="str">
        <f t="shared" si="10"/>
        <v>0Low S</v>
      </c>
      <c r="U81" s="10" t="str">
        <f t="shared" si="11"/>
        <v xml:space="preserve">ur Diesel </v>
      </c>
    </row>
    <row r="82" spans="1:21" ht="15">
      <c r="A82" s="71" t="s">
        <v>230</v>
      </c>
      <c r="B82" s="72"/>
      <c r="C82" s="72">
        <v>40762</v>
      </c>
      <c r="D82" s="72">
        <v>-40762</v>
      </c>
      <c r="E82" s="72"/>
      <c r="F82" s="73"/>
      <c r="G82" s="73"/>
      <c r="H82" s="72"/>
      <c r="J82" s="10" t="str">
        <f t="shared" si="8"/>
        <v>087604</v>
      </c>
      <c r="K82" s="10" t="str">
        <f t="shared" si="9"/>
        <v xml:space="preserve">BASF Butylenes </v>
      </c>
      <c r="L82" s="91">
        <f t="shared" si="7"/>
        <v>0</v>
      </c>
      <c r="M82" s="91">
        <f t="shared" si="7"/>
        <v>20381</v>
      </c>
      <c r="N82" s="91">
        <f t="shared" si="6"/>
        <v>-20381</v>
      </c>
      <c r="O82" s="91">
        <f t="shared" si="6"/>
        <v>0</v>
      </c>
      <c r="P82" s="91">
        <f t="shared" si="6"/>
        <v>0</v>
      </c>
      <c r="Q82" s="91">
        <f t="shared" si="6"/>
        <v>0</v>
      </c>
      <c r="R82" s="91">
        <f t="shared" si="6"/>
        <v>0</v>
      </c>
      <c r="T82" s="10" t="str">
        <f t="shared" si="10"/>
        <v xml:space="preserve">0BASF </v>
      </c>
      <c r="U82" s="10" t="str">
        <f t="shared" si="11"/>
        <v xml:space="preserve">ylenes </v>
      </c>
    </row>
    <row r="83" spans="1:21" ht="15">
      <c r="A83" s="71" t="s">
        <v>267</v>
      </c>
      <c r="B83" s="73"/>
      <c r="C83" s="73"/>
      <c r="D83" s="72">
        <v>111996</v>
      </c>
      <c r="E83" s="72">
        <v>111996</v>
      </c>
      <c r="F83" s="73"/>
      <c r="G83" s="73"/>
      <c r="H83" s="73"/>
      <c r="J83" s="10" t="str">
        <f t="shared" si="8"/>
        <v>087640</v>
      </c>
      <c r="K83" s="10" t="str">
        <f t="shared" si="9"/>
        <v xml:space="preserve">GOHT Bottoms </v>
      </c>
      <c r="L83" s="91">
        <f t="shared" si="7"/>
        <v>0</v>
      </c>
      <c r="M83" s="91">
        <f t="shared" si="7"/>
        <v>0</v>
      </c>
      <c r="N83" s="91">
        <f t="shared" si="6"/>
        <v>55998</v>
      </c>
      <c r="O83" s="91">
        <f t="shared" si="6"/>
        <v>55998</v>
      </c>
      <c r="P83" s="91">
        <f t="shared" si="6"/>
        <v>0</v>
      </c>
      <c r="Q83" s="91">
        <f t="shared" si="6"/>
        <v>0</v>
      </c>
      <c r="R83" s="91">
        <f t="shared" si="6"/>
        <v>0</v>
      </c>
      <c r="T83" s="10" t="str">
        <f t="shared" si="10"/>
        <v xml:space="preserve">0GOHT </v>
      </c>
      <c r="U83" s="10" t="str">
        <f t="shared" si="11"/>
        <v xml:space="preserve">toms </v>
      </c>
    </row>
    <row r="84" spans="1:21" ht="15">
      <c r="A84" s="71" t="s">
        <v>147</v>
      </c>
      <c r="B84" s="72"/>
      <c r="C84" s="72">
        <v>40809</v>
      </c>
      <c r="D84" s="72">
        <v>-40809</v>
      </c>
      <c r="E84" s="72"/>
      <c r="F84" s="73"/>
      <c r="G84" s="73"/>
      <c r="H84" s="72"/>
      <c r="J84" s="10" t="str">
        <f t="shared" si="8"/>
        <v>087644</v>
      </c>
      <c r="K84" s="10" t="str">
        <f t="shared" si="9"/>
        <v xml:space="preserve">OP2 Hydrogen to Oil </v>
      </c>
      <c r="L84" s="91">
        <f t="shared" si="7"/>
        <v>0</v>
      </c>
      <c r="M84" s="91">
        <f t="shared" si="7"/>
        <v>20404.5</v>
      </c>
      <c r="N84" s="91">
        <f t="shared" si="6"/>
        <v>-20404.5</v>
      </c>
      <c r="O84" s="91">
        <f t="shared" si="6"/>
        <v>0</v>
      </c>
      <c r="P84" s="91">
        <f t="shared" si="6"/>
        <v>0</v>
      </c>
      <c r="Q84" s="91">
        <f t="shared" si="6"/>
        <v>0</v>
      </c>
      <c r="R84" s="91">
        <f t="shared" si="6"/>
        <v>0</v>
      </c>
      <c r="T84" s="10" t="str">
        <f t="shared" si="10"/>
        <v>0OP2 H</v>
      </c>
      <c r="U84" s="10" t="str">
        <f t="shared" si="11"/>
        <v xml:space="preserve">ogen to Oil </v>
      </c>
    </row>
    <row r="85" spans="1:21" ht="15">
      <c r="A85" s="71" t="s">
        <v>243</v>
      </c>
      <c r="B85" s="73"/>
      <c r="C85" s="72">
        <v>221439</v>
      </c>
      <c r="D85" s="72">
        <v>-221439</v>
      </c>
      <c r="E85" s="73"/>
      <c r="F85" s="73"/>
      <c r="G85" s="73"/>
      <c r="H85" s="73"/>
      <c r="J85" s="10" t="str">
        <f t="shared" si="8"/>
        <v>087648</v>
      </c>
      <c r="K85" s="10" t="str">
        <f t="shared" si="9"/>
        <v xml:space="preserve">Raffinate to Olefins </v>
      </c>
      <c r="L85" s="91">
        <f t="shared" si="7"/>
        <v>0</v>
      </c>
      <c r="M85" s="91">
        <f t="shared" si="7"/>
        <v>110719.5</v>
      </c>
      <c r="N85" s="91">
        <f t="shared" si="6"/>
        <v>-110719.5</v>
      </c>
      <c r="O85" s="91">
        <f t="shared" si="6"/>
        <v>0</v>
      </c>
      <c r="P85" s="91">
        <f t="shared" si="6"/>
        <v>0</v>
      </c>
      <c r="Q85" s="91">
        <f t="shared" si="6"/>
        <v>0</v>
      </c>
      <c r="R85" s="91">
        <f t="shared" si="6"/>
        <v>0</v>
      </c>
      <c r="T85" s="10" t="str">
        <f t="shared" si="10"/>
        <v>0Raffi</v>
      </c>
      <c r="U85" s="10" t="str">
        <f t="shared" si="11"/>
        <v xml:space="preserve">e to Olefins </v>
      </c>
    </row>
    <row r="86" spans="1:21" ht="15">
      <c r="A86" s="71" t="s">
        <v>148</v>
      </c>
      <c r="B86" s="73"/>
      <c r="C86" s="72"/>
      <c r="D86" s="72">
        <v>64962</v>
      </c>
      <c r="E86" s="72">
        <v>64962</v>
      </c>
      <c r="F86" s="73"/>
      <c r="G86" s="73"/>
      <c r="H86" s="73"/>
      <c r="J86" s="10" t="str">
        <f t="shared" si="8"/>
        <v>087656</v>
      </c>
      <c r="K86" s="10" t="str">
        <f t="shared" si="9"/>
        <v xml:space="preserve">CCRA Dry gas DP </v>
      </c>
      <c r="L86" s="91">
        <f t="shared" si="7"/>
        <v>0</v>
      </c>
      <c r="M86" s="91">
        <f t="shared" si="7"/>
        <v>0</v>
      </c>
      <c r="N86" s="91">
        <f t="shared" si="6"/>
        <v>32481</v>
      </c>
      <c r="O86" s="91">
        <f t="shared" si="6"/>
        <v>32481</v>
      </c>
      <c r="P86" s="91">
        <f t="shared" si="6"/>
        <v>0</v>
      </c>
      <c r="Q86" s="91">
        <f t="shared" si="6"/>
        <v>0</v>
      </c>
      <c r="R86" s="91">
        <f t="shared" si="6"/>
        <v>0</v>
      </c>
      <c r="T86" s="10" t="str">
        <f t="shared" si="10"/>
        <v xml:space="preserve">0CCRA </v>
      </c>
      <c r="U86" s="10" t="str">
        <f t="shared" si="11"/>
        <v xml:space="preserve"> gas DP </v>
      </c>
    </row>
    <row r="87" spans="1:21" ht="15">
      <c r="A87" s="71" t="s">
        <v>254</v>
      </c>
      <c r="B87" s="72"/>
      <c r="C87" s="72"/>
      <c r="D87" s="72">
        <v>233157</v>
      </c>
      <c r="E87" s="72">
        <v>233157</v>
      </c>
      <c r="F87" s="73"/>
      <c r="G87" s="73"/>
      <c r="H87" s="72"/>
      <c r="J87" s="10" t="str">
        <f t="shared" si="8"/>
        <v>087669</v>
      </c>
      <c r="K87" s="10" t="str">
        <f t="shared" si="9"/>
        <v>SEL HC Gas Oil to Olefins</v>
      </c>
      <c r="L87" s="91">
        <f t="shared" si="7"/>
        <v>0</v>
      </c>
      <c r="M87" s="91">
        <f t="shared" si="7"/>
        <v>0</v>
      </c>
      <c r="N87" s="91">
        <f t="shared" si="6"/>
        <v>116578.5</v>
      </c>
      <c r="O87" s="91">
        <f t="shared" si="6"/>
        <v>116578.5</v>
      </c>
      <c r="P87" s="91">
        <f t="shared" si="6"/>
        <v>0</v>
      </c>
      <c r="Q87" s="91">
        <f t="shared" si="6"/>
        <v>0</v>
      </c>
      <c r="R87" s="91">
        <f t="shared" si="6"/>
        <v>0</v>
      </c>
      <c r="T87" s="10" t="str">
        <f t="shared" si="10"/>
        <v>0SEL H</v>
      </c>
      <c r="U87" s="10" t="str">
        <f t="shared" si="11"/>
        <v>as Oil to Olefins</v>
      </c>
    </row>
    <row r="88" spans="1:21" ht="15">
      <c r="A88" s="71" t="s">
        <v>149</v>
      </c>
      <c r="B88" s="72"/>
      <c r="C88" s="72"/>
      <c r="D88" s="72">
        <v>13607</v>
      </c>
      <c r="E88" s="72">
        <v>13607</v>
      </c>
      <c r="F88" s="72"/>
      <c r="G88" s="73"/>
      <c r="H88" s="72"/>
      <c r="J88" s="10" t="str">
        <f t="shared" ref="J88:J93" si="12">CONCATENATE(0,LEFT(A88,5))</f>
        <v>087981</v>
      </c>
      <c r="K88" s="10" t="str">
        <f t="shared" ref="K88:K93" si="13">MID(A88,9,25)</f>
        <v xml:space="preserve">Hydrogen to Chemical </v>
      </c>
      <c r="L88" s="91">
        <f t="shared" si="7"/>
        <v>0</v>
      </c>
      <c r="M88" s="91">
        <f t="shared" si="7"/>
        <v>0</v>
      </c>
      <c r="N88" s="91">
        <f t="shared" si="6"/>
        <v>6803.5</v>
      </c>
      <c r="O88" s="91">
        <f t="shared" si="6"/>
        <v>6803.5</v>
      </c>
      <c r="P88" s="91">
        <f t="shared" si="6"/>
        <v>0</v>
      </c>
      <c r="Q88" s="91">
        <f t="shared" si="6"/>
        <v>0</v>
      </c>
      <c r="R88" s="91">
        <f t="shared" si="6"/>
        <v>0</v>
      </c>
      <c r="T88" s="10" t="str">
        <f t="shared" si="10"/>
        <v>0Hydro</v>
      </c>
      <c r="U88" s="10" t="str">
        <f t="shared" si="11"/>
        <v xml:space="preserve"> to Chemical </v>
      </c>
    </row>
    <row r="89" spans="1:21" ht="15">
      <c r="A89" s="71" t="s">
        <v>215</v>
      </c>
      <c r="B89" s="73"/>
      <c r="C89" s="72">
        <v>240253</v>
      </c>
      <c r="D89" s="72">
        <v>-240253</v>
      </c>
      <c r="E89" s="72"/>
      <c r="F89" s="73"/>
      <c r="G89" s="73"/>
      <c r="H89" s="73"/>
      <c r="J89" s="10" t="str">
        <f t="shared" si="12"/>
        <v>087990</v>
      </c>
      <c r="K89" s="10" t="str">
        <f t="shared" si="13"/>
        <v xml:space="preserve">C7 Plus Gasoline EX HT-2 </v>
      </c>
      <c r="L89" s="91">
        <f t="shared" si="7"/>
        <v>0</v>
      </c>
      <c r="M89" s="91">
        <f t="shared" si="7"/>
        <v>120126.5</v>
      </c>
      <c r="N89" s="91">
        <f t="shared" si="6"/>
        <v>-120126.5</v>
      </c>
      <c r="O89" s="91">
        <f t="shared" si="6"/>
        <v>0</v>
      </c>
      <c r="P89" s="91">
        <f t="shared" si="6"/>
        <v>0</v>
      </c>
      <c r="Q89" s="91">
        <f t="shared" si="6"/>
        <v>0</v>
      </c>
      <c r="R89" s="91">
        <f t="shared" si="6"/>
        <v>0</v>
      </c>
      <c r="T89" s="10" t="str">
        <f t="shared" si="10"/>
        <v>0C7 Pl</v>
      </c>
      <c r="U89" s="10" t="str">
        <f t="shared" si="11"/>
        <v xml:space="preserve">Gasoline EX HT-2 </v>
      </c>
    </row>
    <row r="90" spans="1:21" ht="15">
      <c r="A90" s="71" t="s">
        <v>216</v>
      </c>
      <c r="B90" s="72"/>
      <c r="C90" s="72">
        <v>19390</v>
      </c>
      <c r="D90" s="72">
        <v>-19390</v>
      </c>
      <c r="E90" s="73"/>
      <c r="F90" s="73"/>
      <c r="G90" s="73"/>
      <c r="H90" s="72"/>
      <c r="J90" s="10" t="str">
        <f t="shared" si="12"/>
        <v>087992</v>
      </c>
      <c r="K90" s="10" t="str">
        <f t="shared" si="13"/>
        <v xml:space="preserve">HT-2/3 Hydrogen </v>
      </c>
      <c r="L90" s="91">
        <f t="shared" si="7"/>
        <v>0</v>
      </c>
      <c r="M90" s="91">
        <f t="shared" si="7"/>
        <v>9695</v>
      </c>
      <c r="N90" s="91">
        <f t="shared" si="6"/>
        <v>-9695</v>
      </c>
      <c r="O90" s="91">
        <f t="shared" si="6"/>
        <v>0</v>
      </c>
      <c r="P90" s="91">
        <f t="shared" si="6"/>
        <v>0</v>
      </c>
      <c r="Q90" s="91">
        <f t="shared" si="6"/>
        <v>0</v>
      </c>
      <c r="R90" s="91">
        <f t="shared" si="6"/>
        <v>0</v>
      </c>
      <c r="T90" s="10" t="str">
        <f t="shared" si="10"/>
        <v>0HT-2/</v>
      </c>
      <c r="U90" s="10" t="str">
        <f t="shared" si="11"/>
        <v xml:space="preserve">ydrogen </v>
      </c>
    </row>
    <row r="91" spans="1:21" ht="15">
      <c r="A91" s="71" t="s">
        <v>150</v>
      </c>
      <c r="B91" s="72">
        <v>8360</v>
      </c>
      <c r="C91" s="72"/>
      <c r="D91" s="72">
        <v>157064</v>
      </c>
      <c r="E91" s="72">
        <v>154630</v>
      </c>
      <c r="F91" s="73"/>
      <c r="G91" s="73"/>
      <c r="H91" s="72">
        <v>10794</v>
      </c>
      <c r="I91" s="58"/>
      <c r="J91" s="10" t="str">
        <f t="shared" si="12"/>
        <v>092000</v>
      </c>
      <c r="K91" s="10" t="str">
        <f t="shared" si="13"/>
        <v xml:space="preserve">Shell Propane-HD-5 </v>
      </c>
      <c r="L91" s="91">
        <f t="shared" ref="L91:L94" si="14">ROUND(B91/2,2)</f>
        <v>4180</v>
      </c>
      <c r="M91" s="91">
        <f t="shared" ref="M91:M94" si="15">ROUND(C91/2,2)</f>
        <v>0</v>
      </c>
      <c r="N91" s="91">
        <f t="shared" ref="N91:N94" si="16">ROUND(D91/2,2)</f>
        <v>78532</v>
      </c>
      <c r="O91" s="91">
        <f t="shared" ref="O91:O94" si="17">ROUND(E91/2,2)</f>
        <v>77315</v>
      </c>
      <c r="P91" s="91">
        <f t="shared" ref="P91:P94" si="18">ROUND(F91/2,2)</f>
        <v>0</v>
      </c>
      <c r="Q91" s="91">
        <f t="shared" ref="Q91:Q94" si="19">ROUND(G91/2,2)</f>
        <v>0</v>
      </c>
      <c r="R91" s="91">
        <f t="shared" ref="R91:R94" si="20">ROUND(H91/2,2)</f>
        <v>5397</v>
      </c>
      <c r="T91" s="10" t="str">
        <f t="shared" ref="T91:T94" si="21">CONCATENATE(0,LEFT(K91,5))</f>
        <v>0Shell</v>
      </c>
      <c r="U91" s="10" t="str">
        <f t="shared" ref="U91:U94" si="22">MID(K91,9,25)</f>
        <v xml:space="preserve">opane-HD-5 </v>
      </c>
    </row>
    <row r="92" spans="1:21" ht="15">
      <c r="A92" s="71" t="s">
        <v>151</v>
      </c>
      <c r="B92" s="72">
        <v>28263</v>
      </c>
      <c r="C92" s="73"/>
      <c r="D92" s="72">
        <v>202701</v>
      </c>
      <c r="E92" s="72">
        <v>204656</v>
      </c>
      <c r="F92" s="73"/>
      <c r="G92" s="73"/>
      <c r="H92" s="72">
        <v>26309</v>
      </c>
      <c r="I92" s="58"/>
      <c r="J92" s="10" t="str">
        <f t="shared" si="12"/>
        <v>092107</v>
      </c>
      <c r="K92" s="10" t="str">
        <f t="shared" si="13"/>
        <v xml:space="preserve">Normal Butane </v>
      </c>
      <c r="L92" s="91">
        <f t="shared" si="14"/>
        <v>14131.5</v>
      </c>
      <c r="M92" s="91">
        <f t="shared" si="15"/>
        <v>0</v>
      </c>
      <c r="N92" s="91">
        <f t="shared" si="16"/>
        <v>101350.5</v>
      </c>
      <c r="O92" s="91">
        <f t="shared" si="17"/>
        <v>102328</v>
      </c>
      <c r="P92" s="91">
        <f t="shared" si="18"/>
        <v>0</v>
      </c>
      <c r="Q92" s="91">
        <f t="shared" si="19"/>
        <v>0</v>
      </c>
      <c r="R92" s="91">
        <f t="shared" si="20"/>
        <v>13154.5</v>
      </c>
      <c r="T92" s="10" t="str">
        <f t="shared" si="21"/>
        <v>0Norma</v>
      </c>
      <c r="U92" s="10" t="str">
        <f t="shared" si="22"/>
        <v xml:space="preserve">utane </v>
      </c>
    </row>
    <row r="93" spans="1:21" ht="15">
      <c r="A93" s="71" t="s">
        <v>103</v>
      </c>
      <c r="B93" s="72"/>
      <c r="C93" s="72"/>
      <c r="D93" s="72">
        <v>167222</v>
      </c>
      <c r="E93" s="72">
        <v>167222</v>
      </c>
      <c r="F93" s="73"/>
      <c r="G93" s="73"/>
      <c r="H93" s="72"/>
      <c r="I93" s="58"/>
      <c r="J93" s="10" t="str">
        <f>CONCATENATE(0,LEFT(A93,5))</f>
        <v>092550</v>
      </c>
      <c r="K93" s="10" t="str">
        <f>MID(A93,9,25)</f>
        <v xml:space="preserve">SH.PROP/PROPY-UNODOR </v>
      </c>
      <c r="L93" s="91">
        <f t="shared" si="14"/>
        <v>0</v>
      </c>
      <c r="M93" s="91">
        <f t="shared" si="15"/>
        <v>0</v>
      </c>
      <c r="N93" s="91">
        <f t="shared" si="16"/>
        <v>83611</v>
      </c>
      <c r="O93" s="91">
        <f t="shared" si="17"/>
        <v>83611</v>
      </c>
      <c r="P93" s="91">
        <f t="shared" si="18"/>
        <v>0</v>
      </c>
      <c r="Q93" s="91">
        <f t="shared" si="19"/>
        <v>0</v>
      </c>
      <c r="R93" s="91">
        <f t="shared" si="20"/>
        <v>0</v>
      </c>
      <c r="T93" s="10" t="str">
        <f t="shared" si="21"/>
        <v>0SH.PR</v>
      </c>
      <c r="U93" s="10" t="str">
        <f t="shared" si="22"/>
        <v xml:space="preserve">PROPY-UNODOR </v>
      </c>
    </row>
    <row r="94" spans="1:21" ht="15">
      <c r="A94" s="66" t="s">
        <v>152</v>
      </c>
      <c r="B94" s="67">
        <v>44515</v>
      </c>
      <c r="C94" s="67">
        <v>105218</v>
      </c>
      <c r="D94" s="67">
        <v>-116989</v>
      </c>
      <c r="E94" s="69"/>
      <c r="F94" s="68"/>
      <c r="G94" s="68"/>
      <c r="H94" s="74">
        <v>32745</v>
      </c>
      <c r="I94" s="58"/>
      <c r="J94" s="10" t="str">
        <f>CONCATENATE(0,LEFT(A94,5))</f>
        <v>092606</v>
      </c>
      <c r="K94" s="10" t="str">
        <f>MID(A94,9,25)</f>
        <v xml:space="preserve">Isobutane </v>
      </c>
      <c r="L94" s="91">
        <f t="shared" si="14"/>
        <v>22257.5</v>
      </c>
      <c r="M94" s="91">
        <f t="shared" si="15"/>
        <v>52609</v>
      </c>
      <c r="N94" s="91">
        <f t="shared" si="16"/>
        <v>-58494.5</v>
      </c>
      <c r="O94" s="91">
        <f t="shared" si="17"/>
        <v>0</v>
      </c>
      <c r="P94" s="91">
        <f t="shared" si="18"/>
        <v>0</v>
      </c>
      <c r="Q94" s="91">
        <f t="shared" si="19"/>
        <v>0</v>
      </c>
      <c r="R94" s="91">
        <f t="shared" si="20"/>
        <v>16372.5</v>
      </c>
      <c r="T94" s="10" t="str">
        <f t="shared" si="21"/>
        <v>0Isobu</v>
      </c>
      <c r="U94" s="10" t="str">
        <f t="shared" si="22"/>
        <v xml:space="preserve">e </v>
      </c>
    </row>
    <row r="95" spans="1:21">
      <c r="A95" s="58"/>
      <c r="B95" s="58"/>
      <c r="C95" s="58"/>
      <c r="D95" s="58"/>
      <c r="E95" s="58"/>
      <c r="F95" s="58"/>
      <c r="G95" s="58"/>
      <c r="H95" s="58"/>
      <c r="I95" s="58"/>
      <c r="L95" s="58"/>
      <c r="M95" s="58"/>
      <c r="N95" s="58"/>
      <c r="O95" s="58"/>
      <c r="P95" s="58"/>
      <c r="Q95" s="58"/>
      <c r="R95" s="58"/>
      <c r="S95" s="58"/>
      <c r="T95" s="58"/>
      <c r="U95" s="58"/>
    </row>
    <row r="96" spans="1:21">
      <c r="A96" s="58"/>
      <c r="B96" s="58"/>
      <c r="C96" s="58"/>
      <c r="D96" s="58"/>
      <c r="E96" s="58"/>
      <c r="F96" s="58"/>
      <c r="G96" s="58"/>
      <c r="H96" s="58"/>
      <c r="L96" s="58"/>
      <c r="M96" s="58"/>
      <c r="N96" s="58"/>
      <c r="O96" s="58"/>
      <c r="P96" s="58"/>
      <c r="Q96" s="58"/>
      <c r="R96" s="58"/>
      <c r="S96" s="58"/>
      <c r="T96" s="58"/>
      <c r="U96" s="58"/>
    </row>
    <row r="97" spans="1:21">
      <c r="A97" s="58"/>
      <c r="B97" s="58"/>
      <c r="C97" s="58"/>
      <c r="D97" s="58"/>
      <c r="E97" s="58"/>
      <c r="F97" s="58"/>
      <c r="G97" s="58"/>
      <c r="H97" s="58"/>
      <c r="L97" s="58"/>
      <c r="M97" s="58"/>
      <c r="N97" s="58"/>
      <c r="O97" s="58"/>
      <c r="P97" s="58"/>
      <c r="Q97" s="58"/>
      <c r="R97" s="58"/>
      <c r="S97" s="58"/>
      <c r="T97" s="58"/>
      <c r="U97" s="58"/>
    </row>
    <row r="98" spans="1:21">
      <c r="A98" s="58"/>
      <c r="B98" s="58"/>
      <c r="C98" s="58"/>
      <c r="D98" s="58"/>
      <c r="E98" s="58"/>
      <c r="F98" s="58"/>
      <c r="G98" s="58"/>
      <c r="H98" s="58"/>
      <c r="L98" s="58"/>
      <c r="M98" s="58"/>
      <c r="N98" s="58"/>
      <c r="O98" s="58"/>
      <c r="P98" s="58"/>
      <c r="Q98" s="58"/>
      <c r="R98" s="58"/>
      <c r="S98" s="58"/>
      <c r="T98" s="58"/>
      <c r="U98" s="58"/>
    </row>
    <row r="99" spans="1:21">
      <c r="A99" s="58"/>
      <c r="B99" s="58"/>
      <c r="C99" s="58"/>
      <c r="D99" s="58"/>
      <c r="E99" s="58"/>
      <c r="F99" s="58"/>
      <c r="G99" s="58"/>
      <c r="H99" s="58"/>
      <c r="L99" s="58"/>
      <c r="M99" s="58"/>
      <c r="N99" s="58"/>
      <c r="O99" s="58"/>
      <c r="P99" s="58"/>
      <c r="Q99" s="58"/>
      <c r="R99" s="58"/>
      <c r="S99" s="58"/>
      <c r="T99" s="58"/>
      <c r="U99" s="58"/>
    </row>
    <row r="100" spans="1:21">
      <c r="A100" s="58"/>
      <c r="B100" s="58"/>
      <c r="C100" s="58"/>
      <c r="D100" s="58"/>
      <c r="E100" s="58"/>
      <c r="F100" s="58"/>
      <c r="G100" s="58"/>
      <c r="H100" s="58"/>
    </row>
    <row r="101" spans="1:21">
      <c r="A101" s="58"/>
      <c r="B101" s="65">
        <f>SUM(B2:B100)</f>
        <v>8316558</v>
      </c>
      <c r="C101" s="65">
        <f t="shared" ref="C101:H101" si="23">SUM(C2:C100)</f>
        <v>11455230</v>
      </c>
      <c r="D101" s="65">
        <f t="shared" si="23"/>
        <v>802061</v>
      </c>
      <c r="E101" s="65">
        <f t="shared" si="23"/>
        <v>12632952</v>
      </c>
      <c r="F101" s="65">
        <f t="shared" si="23"/>
        <v>28615</v>
      </c>
      <c r="G101" s="65">
        <f t="shared" si="23"/>
        <v>273219</v>
      </c>
      <c r="H101" s="65">
        <f t="shared" si="23"/>
        <v>7639060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</row>
    <row r="102" spans="1:21">
      <c r="A102" s="58"/>
      <c r="B102" s="58"/>
      <c r="C102" s="65">
        <f>C101-C2-C3-C12</f>
        <v>11455230</v>
      </c>
      <c r="D102" s="58"/>
      <c r="E102" s="65">
        <f>E101-E2-E3-E12</f>
        <v>12632952</v>
      </c>
      <c r="F102" s="58"/>
      <c r="G102" s="58"/>
      <c r="H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</row>
    <row r="103" spans="1:21">
      <c r="A103" s="58"/>
      <c r="B103" s="58"/>
      <c r="C103" s="58"/>
      <c r="D103" s="58"/>
      <c r="E103" s="58"/>
      <c r="F103" s="58"/>
      <c r="G103" s="58"/>
      <c r="H103" s="58"/>
    </row>
    <row r="112" spans="1:21">
      <c r="L112" s="92">
        <f>SUM(L2:L111)</f>
        <v>4158279</v>
      </c>
      <c r="M112" s="92">
        <f t="shared" ref="M112:R112" si="24">SUM(M2:M111)</f>
        <v>5727615</v>
      </c>
      <c r="N112" s="92">
        <f t="shared" si="24"/>
        <v>401030.5</v>
      </c>
      <c r="O112" s="92">
        <f t="shared" si="24"/>
        <v>6316476</v>
      </c>
      <c r="P112" s="92">
        <f t="shared" si="24"/>
        <v>14307.5</v>
      </c>
      <c r="Q112" s="92">
        <f t="shared" si="24"/>
        <v>136609.5</v>
      </c>
      <c r="R112" s="92">
        <f t="shared" si="24"/>
        <v>3819530</v>
      </c>
    </row>
    <row r="113" spans="12:18">
      <c r="L113" s="92">
        <f>(+B112/2)-L112</f>
        <v>-4158279</v>
      </c>
      <c r="M113" s="92">
        <f t="shared" ref="M113:R113" si="25">(+C112/2)-M112</f>
        <v>-5727615</v>
      </c>
      <c r="N113" s="92">
        <f t="shared" si="25"/>
        <v>-401030.5</v>
      </c>
      <c r="O113" s="92">
        <f t="shared" si="25"/>
        <v>-6316476</v>
      </c>
      <c r="P113" s="92">
        <f t="shared" si="25"/>
        <v>-14307.5</v>
      </c>
      <c r="Q113" s="92">
        <f t="shared" si="25"/>
        <v>-136609.5</v>
      </c>
      <c r="R113" s="92">
        <f t="shared" si="25"/>
        <v>-3819530</v>
      </c>
    </row>
  </sheetData>
  <sortState ref="A2:H90">
    <sortCondition ref="A2:A90"/>
  </sortState>
  <phoneticPr fontId="0" type="noConversion"/>
  <printOptions horizontalCentered="1" gridLines="1"/>
  <pageMargins left="0.75" right="0.75" top="0.83" bottom="0.33" header="0.18" footer="0.16"/>
  <pageSetup scale="75" fitToHeight="2" orientation="portrait" r:id="rId1"/>
  <headerFooter alignWithMargins="0">
    <oddHeader xml:space="preserve">&amp;L&amp;8UoM: Barrels &amp;C&amp;"Bold,Bold"&amp;20R-1264
&amp;9 DPR
Data Version: SAP 
Department: Fuels 
Physical Transactions 
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P57"/>
  <sheetViews>
    <sheetView topLeftCell="A7" workbookViewId="0">
      <selection activeCell="H43" sqref="H43"/>
    </sheetView>
  </sheetViews>
  <sheetFormatPr defaultRowHeight="12.75"/>
  <cols>
    <col min="1" max="1" width="11" style="11" customWidth="1"/>
    <col min="2" max="2" width="14.42578125" style="11" customWidth="1"/>
    <col min="3" max="3" width="25.42578125" style="11" customWidth="1"/>
    <col min="4" max="5" width="1" style="11" customWidth="1"/>
    <col min="6" max="6" width="12.140625" style="11" customWidth="1"/>
    <col min="7" max="7" width="2" style="11" customWidth="1"/>
    <col min="8" max="8" width="10" style="11" bestFit="1" customWidth="1"/>
    <col min="9" max="9" width="12.85546875" style="11" bestFit="1" customWidth="1"/>
    <col min="10" max="10" width="12" style="11" bestFit="1" customWidth="1"/>
    <col min="11" max="11" width="11.85546875" style="11" bestFit="1" customWidth="1"/>
    <col min="12" max="12" width="10.85546875" style="11" bestFit="1" customWidth="1"/>
    <col min="13" max="13" width="11.85546875" style="11" bestFit="1" customWidth="1"/>
    <col min="14" max="16384" width="9.140625" style="11"/>
  </cols>
  <sheetData>
    <row r="1" spans="1:16" ht="4.1500000000000004" customHeight="1"/>
    <row r="2" spans="1:16" ht="18">
      <c r="A2" s="78" t="s">
        <v>80</v>
      </c>
      <c r="B2" s="78"/>
      <c r="C2" s="78"/>
      <c r="D2" s="78"/>
      <c r="E2" s="78"/>
      <c r="F2" s="78"/>
      <c r="G2" s="23"/>
    </row>
    <row r="3" spans="1:16" ht="24.75" customHeight="1">
      <c r="A3" s="79" t="s">
        <v>81</v>
      </c>
      <c r="B3" s="79"/>
      <c r="C3" s="79"/>
      <c r="D3" s="79"/>
      <c r="E3" s="79"/>
      <c r="F3" s="79"/>
    </row>
    <row r="4" spans="1:16" ht="17.25" customHeight="1">
      <c r="A4" s="81"/>
      <c r="B4" s="81"/>
      <c r="C4" s="81"/>
      <c r="D4" s="81"/>
      <c r="E4" s="82"/>
      <c r="F4" s="75" t="s">
        <v>96</v>
      </c>
    </row>
    <row r="5" spans="1:16" ht="13.5" customHeight="1">
      <c r="A5" s="22"/>
      <c r="B5" s="22"/>
      <c r="C5" s="22"/>
      <c r="D5" s="22"/>
      <c r="E5" s="22"/>
      <c r="F5" s="76"/>
      <c r="I5" s="62"/>
      <c r="J5" s="62"/>
      <c r="K5" s="62"/>
      <c r="L5" s="62"/>
      <c r="M5" s="62"/>
      <c r="N5" s="62"/>
      <c r="O5" s="62"/>
      <c r="P5" s="62"/>
    </row>
    <row r="6" spans="1:16" ht="10.5" customHeight="1">
      <c r="A6" s="81"/>
      <c r="B6" s="81"/>
      <c r="C6" s="81"/>
      <c r="D6" s="81"/>
      <c r="E6" s="82"/>
      <c r="F6" s="77"/>
      <c r="I6" s="62"/>
      <c r="J6" s="62"/>
      <c r="K6" s="62"/>
      <c r="L6" s="62"/>
      <c r="M6" s="62"/>
      <c r="N6" s="62"/>
      <c r="O6" s="62"/>
      <c r="P6" s="62"/>
    </row>
    <row r="7" spans="1:16" ht="16.899999999999999" customHeight="1">
      <c r="A7" s="80">
        <v>40725</v>
      </c>
      <c r="B7" s="80"/>
      <c r="C7" s="80"/>
      <c r="D7" s="80"/>
      <c r="E7" s="80"/>
      <c r="F7" s="80"/>
      <c r="I7" s="62"/>
      <c r="J7" s="62"/>
      <c r="K7" s="62"/>
      <c r="L7" s="62"/>
      <c r="M7" s="62"/>
      <c r="N7" s="62"/>
      <c r="O7" s="62"/>
      <c r="P7" s="62"/>
    </row>
    <row r="8" spans="1:16" ht="21.75" customHeight="1" thickBot="1">
      <c r="A8" s="12" t="s">
        <v>82</v>
      </c>
      <c r="B8" s="17" t="s">
        <v>83</v>
      </c>
      <c r="C8" s="17" t="s">
        <v>84</v>
      </c>
      <c r="D8" s="18"/>
      <c r="E8" s="18"/>
      <c r="F8" s="54"/>
      <c r="I8" s="62"/>
      <c r="J8" s="62"/>
      <c r="K8" s="62"/>
      <c r="L8" s="62"/>
      <c r="M8" s="62"/>
      <c r="N8" s="62"/>
      <c r="O8" s="62"/>
      <c r="P8" s="62"/>
    </row>
    <row r="9" spans="1:16" ht="14.25" customHeight="1" thickTop="1">
      <c r="A9" s="55">
        <v>306</v>
      </c>
      <c r="B9" s="56">
        <v>99637.27</v>
      </c>
      <c r="C9" s="56">
        <v>14513141.899999999</v>
      </c>
      <c r="D9" s="19"/>
      <c r="E9" s="19"/>
      <c r="F9" s="37"/>
      <c r="I9" s="62"/>
      <c r="J9" s="62"/>
      <c r="K9" s="63"/>
      <c r="L9" s="63"/>
      <c r="M9" s="63"/>
      <c r="N9" s="62"/>
      <c r="O9" s="62"/>
      <c r="P9" s="62"/>
    </row>
    <row r="10" spans="1:16" ht="14.25" customHeight="1">
      <c r="A10" s="55">
        <v>351</v>
      </c>
      <c r="B10" s="56">
        <v>1128300.24</v>
      </c>
      <c r="C10" s="56">
        <v>134548115.67999998</v>
      </c>
      <c r="D10" s="19"/>
      <c r="E10" s="19"/>
      <c r="F10" s="37"/>
      <c r="I10" s="62"/>
      <c r="J10" s="62"/>
      <c r="K10" s="63"/>
      <c r="L10" s="63"/>
      <c r="M10" s="63"/>
      <c r="N10" s="62"/>
      <c r="O10" s="62"/>
      <c r="P10" s="62"/>
    </row>
    <row r="11" spans="1:16" ht="14.25" customHeight="1">
      <c r="A11" s="55">
        <v>429</v>
      </c>
      <c r="B11" s="56">
        <v>39621</v>
      </c>
      <c r="C11" s="56">
        <v>4889398.4000000004</v>
      </c>
      <c r="D11" s="19"/>
      <c r="E11" s="19"/>
      <c r="F11" s="37"/>
      <c r="I11" s="62"/>
      <c r="J11" s="62"/>
      <c r="K11" s="63"/>
      <c r="L11" s="63"/>
      <c r="M11" s="63"/>
      <c r="N11" s="62"/>
      <c r="O11" s="62"/>
      <c r="P11" s="62"/>
    </row>
    <row r="12" spans="1:16" ht="14.25" customHeight="1">
      <c r="A12" s="55">
        <v>646</v>
      </c>
      <c r="B12" s="56">
        <v>295368.33</v>
      </c>
      <c r="C12" s="56">
        <v>38425267.969999999</v>
      </c>
      <c r="D12" s="19"/>
      <c r="E12" s="19"/>
      <c r="F12" s="37"/>
      <c r="I12" s="62"/>
      <c r="J12" s="62"/>
      <c r="K12" s="63"/>
      <c r="L12" s="63"/>
      <c r="M12" s="63"/>
      <c r="N12" s="62"/>
      <c r="O12" s="62"/>
      <c r="P12" s="62"/>
    </row>
    <row r="13" spans="1:16" ht="14.25" customHeight="1">
      <c r="A13" s="55">
        <v>866</v>
      </c>
      <c r="B13" s="56">
        <v>1356647.068956943</v>
      </c>
      <c r="C13" s="56">
        <v>25870626.91</v>
      </c>
      <c r="D13" s="19"/>
      <c r="E13" s="19"/>
      <c r="F13" s="37"/>
      <c r="I13" s="62"/>
      <c r="J13" s="62"/>
      <c r="K13" s="63"/>
      <c r="L13" s="63"/>
      <c r="M13" s="63"/>
      <c r="N13" s="62"/>
      <c r="O13" s="62"/>
      <c r="P13" s="62"/>
    </row>
    <row r="14" spans="1:16" ht="14.25" customHeight="1">
      <c r="A14" s="55">
        <v>1046</v>
      </c>
      <c r="B14" s="56">
        <v>71199.554146750204</v>
      </c>
      <c r="C14" s="56">
        <v>4443521.8700000029</v>
      </c>
      <c r="D14" s="19"/>
      <c r="E14" s="19"/>
      <c r="F14" s="37"/>
      <c r="I14" s="62"/>
      <c r="J14" s="62"/>
      <c r="K14" s="62"/>
      <c r="L14" s="62"/>
      <c r="M14" s="62"/>
      <c r="N14" s="62"/>
      <c r="O14" s="62"/>
      <c r="P14" s="62"/>
    </row>
    <row r="15" spans="1:16" ht="14.25" customHeight="1">
      <c r="A15" s="55">
        <v>8048</v>
      </c>
      <c r="B15" s="56">
        <v>53008.19</v>
      </c>
      <c r="C15" s="56">
        <v>7050163.54</v>
      </c>
      <c r="D15" s="19"/>
      <c r="E15" s="19"/>
      <c r="F15" s="37"/>
      <c r="I15" s="62"/>
      <c r="J15" s="62"/>
      <c r="K15" s="62"/>
      <c r="L15" s="62"/>
      <c r="M15" s="62"/>
      <c r="N15" s="62"/>
      <c r="O15" s="62"/>
      <c r="P15" s="62"/>
    </row>
    <row r="16" spans="1:16" ht="14.25" customHeight="1">
      <c r="A16" s="55">
        <v>8199</v>
      </c>
      <c r="B16" s="56">
        <v>3.637978807091713E-12</v>
      </c>
      <c r="C16" s="56">
        <v>0</v>
      </c>
      <c r="D16" s="19"/>
      <c r="E16" s="19"/>
      <c r="F16" s="37"/>
      <c r="I16" s="62"/>
      <c r="J16" s="62"/>
      <c r="K16" s="62"/>
      <c r="L16" s="62"/>
      <c r="M16" s="62"/>
      <c r="N16" s="62"/>
      <c r="O16" s="62"/>
      <c r="P16" s="62"/>
    </row>
    <row r="17" spans="1:16" ht="14.25" customHeight="1">
      <c r="A17" s="55">
        <v>8708</v>
      </c>
      <c r="B17" s="56">
        <v>143473.39500000002</v>
      </c>
      <c r="C17" s="56">
        <v>13847697.98</v>
      </c>
      <c r="D17" s="19"/>
      <c r="E17" s="19"/>
      <c r="F17" s="37"/>
      <c r="I17" s="62"/>
      <c r="J17" s="62"/>
      <c r="K17" s="62"/>
      <c r="L17" s="62"/>
      <c r="M17" s="62"/>
      <c r="N17" s="62"/>
      <c r="O17" s="62"/>
      <c r="P17" s="62"/>
    </row>
    <row r="18" spans="1:16" ht="14.25" customHeight="1">
      <c r="A18" s="55">
        <v>26672</v>
      </c>
      <c r="B18" s="56">
        <v>579117.75</v>
      </c>
      <c r="C18" s="56">
        <v>76008699.540000007</v>
      </c>
      <c r="D18" s="19"/>
      <c r="E18" s="19"/>
      <c r="F18" s="37"/>
      <c r="I18" s="62"/>
      <c r="J18" s="62"/>
      <c r="K18" s="62"/>
      <c r="L18" s="62"/>
      <c r="M18" s="62"/>
      <c r="N18" s="62"/>
      <c r="O18" s="62"/>
      <c r="P18" s="62"/>
    </row>
    <row r="19" spans="1:16" ht="14.25" customHeight="1">
      <c r="A19" s="55">
        <v>26797</v>
      </c>
      <c r="B19" s="56">
        <v>1020337.5999999999</v>
      </c>
      <c r="C19" s="56">
        <v>124626473.88</v>
      </c>
      <c r="D19" s="19"/>
      <c r="E19" s="19"/>
      <c r="F19" s="37"/>
      <c r="I19" s="62"/>
      <c r="J19" s="62"/>
      <c r="K19" s="62"/>
      <c r="L19" s="62"/>
      <c r="M19" s="62"/>
      <c r="N19" s="62"/>
      <c r="O19" s="62"/>
      <c r="P19" s="62"/>
    </row>
    <row r="20" spans="1:16" ht="14.25" customHeight="1">
      <c r="A20" s="55">
        <v>26858</v>
      </c>
      <c r="B20" s="56">
        <v>1325160.9040000001</v>
      </c>
      <c r="C20" s="56">
        <v>156819449.19</v>
      </c>
      <c r="D20" s="19"/>
      <c r="E20" s="19"/>
      <c r="F20" s="37"/>
      <c r="I20" s="62"/>
      <c r="J20" s="62"/>
      <c r="K20" s="62"/>
      <c r="L20" s="62"/>
      <c r="M20" s="62"/>
      <c r="N20" s="62"/>
      <c r="O20" s="62"/>
      <c r="P20" s="62"/>
    </row>
    <row r="21" spans="1:16" ht="14.25" customHeight="1">
      <c r="A21" s="55">
        <v>27101</v>
      </c>
      <c r="B21" s="56">
        <v>2635787.04</v>
      </c>
      <c r="C21" s="56">
        <v>328726700.27999991</v>
      </c>
      <c r="D21" s="19"/>
      <c r="E21" s="19"/>
      <c r="F21" s="37"/>
      <c r="I21" s="62"/>
      <c r="J21" s="62"/>
      <c r="K21" s="62"/>
      <c r="L21" s="62"/>
      <c r="M21" s="62"/>
      <c r="N21" s="62"/>
      <c r="O21" s="62"/>
      <c r="P21" s="62"/>
    </row>
    <row r="22" spans="1:16" ht="14.25" customHeight="1">
      <c r="A22" s="55">
        <v>41315</v>
      </c>
      <c r="B22" s="56">
        <v>1531953.85</v>
      </c>
      <c r="C22" s="56">
        <v>145609976.06</v>
      </c>
      <c r="D22" s="19"/>
      <c r="E22" s="19"/>
      <c r="F22" s="37"/>
    </row>
    <row r="23" spans="1:16" ht="14.25" customHeight="1">
      <c r="A23" s="55">
        <v>50360</v>
      </c>
      <c r="B23" s="56">
        <v>49234.458000000006</v>
      </c>
      <c r="C23" s="56">
        <v>6800992.9100000001</v>
      </c>
      <c r="D23" s="19"/>
      <c r="E23" s="19"/>
      <c r="F23" s="37"/>
    </row>
    <row r="24" spans="1:16" ht="14.25" customHeight="1">
      <c r="A24" s="55">
        <v>87035</v>
      </c>
      <c r="B24" s="56">
        <v>77692.482000000004</v>
      </c>
      <c r="C24" s="56">
        <v>4016026.38</v>
      </c>
      <c r="D24" s="19"/>
      <c r="E24" s="19"/>
      <c r="F24" s="37"/>
    </row>
    <row r="25" spans="1:16" ht="14.25" customHeight="1">
      <c r="A25" s="55">
        <v>87040</v>
      </c>
      <c r="B25" s="56">
        <v>318549.41600000003</v>
      </c>
      <c r="C25" s="56">
        <v>9073109.4900000002</v>
      </c>
      <c r="D25" s="19"/>
      <c r="E25" s="19"/>
      <c r="F25" s="37"/>
    </row>
    <row r="26" spans="1:16" ht="14.25" customHeight="1">
      <c r="A26" s="55">
        <v>87476</v>
      </c>
      <c r="B26" s="56">
        <v>5198.1949999999997</v>
      </c>
      <c r="C26" s="56">
        <v>195890.51</v>
      </c>
      <c r="D26" s="19"/>
      <c r="E26" s="19"/>
      <c r="F26" s="37"/>
      <c r="I26" s="39"/>
      <c r="J26" s="40"/>
      <c r="K26" s="41"/>
    </row>
    <row r="27" spans="1:16" ht="14.25" customHeight="1">
      <c r="A27" s="55">
        <v>87501</v>
      </c>
      <c r="B27" s="56">
        <v>242.702</v>
      </c>
      <c r="C27" s="56">
        <v>18534.41</v>
      </c>
      <c r="D27" s="19"/>
      <c r="E27" s="19"/>
      <c r="F27" s="37"/>
    </row>
    <row r="28" spans="1:16" ht="14.25" customHeight="1">
      <c r="A28" s="55">
        <v>87574</v>
      </c>
      <c r="B28" s="56">
        <v>574502.43700000003</v>
      </c>
      <c r="C28" s="56">
        <v>76887179.540000007</v>
      </c>
      <c r="D28" s="19"/>
      <c r="E28" s="19"/>
      <c r="F28" s="37"/>
    </row>
    <row r="29" spans="1:16" ht="14.25" customHeight="1">
      <c r="A29" s="55">
        <v>87656</v>
      </c>
      <c r="B29" s="56">
        <v>64961.987999999998</v>
      </c>
      <c r="C29" s="56">
        <v>3290785.48</v>
      </c>
      <c r="D29" s="19"/>
      <c r="E29" s="19"/>
      <c r="F29" s="37"/>
    </row>
    <row r="30" spans="1:16" ht="14.25" customHeight="1">
      <c r="A30" s="55">
        <v>87669</v>
      </c>
      <c r="B30" s="56">
        <v>233156.72</v>
      </c>
      <c r="C30" s="56">
        <v>28684283.010000002</v>
      </c>
      <c r="D30" s="19"/>
      <c r="E30" s="19"/>
      <c r="F30" s="37"/>
    </row>
    <row r="31" spans="1:16" ht="14.25" customHeight="1">
      <c r="A31" s="55">
        <v>87981</v>
      </c>
      <c r="B31" s="56">
        <v>13607.341</v>
      </c>
      <c r="C31" s="56">
        <v>512783.57</v>
      </c>
      <c r="D31" s="19"/>
      <c r="E31" s="19"/>
      <c r="F31" s="37"/>
    </row>
    <row r="32" spans="1:16" ht="14.25" customHeight="1">
      <c r="A32" s="55">
        <v>92000</v>
      </c>
      <c r="B32" s="56">
        <v>154630</v>
      </c>
      <c r="C32" s="56">
        <v>9831776.3100000005</v>
      </c>
      <c r="D32" s="19"/>
      <c r="E32" s="19"/>
      <c r="F32" s="37"/>
    </row>
    <row r="33" spans="1:6" ht="14.25" customHeight="1">
      <c r="A33" s="55">
        <v>92107</v>
      </c>
      <c r="B33" s="56">
        <v>204656</v>
      </c>
      <c r="C33" s="56">
        <v>15128039.439999999</v>
      </c>
      <c r="D33" s="19"/>
      <c r="E33" s="19"/>
      <c r="F33" s="37"/>
    </row>
    <row r="34" spans="1:6" ht="14.25" customHeight="1">
      <c r="A34" s="55">
        <v>92550</v>
      </c>
      <c r="B34" s="56">
        <v>167221.601</v>
      </c>
      <c r="C34" s="56">
        <v>18406569.550000001</v>
      </c>
      <c r="D34" s="19"/>
      <c r="E34" s="19"/>
      <c r="F34" s="37"/>
    </row>
    <row r="35" spans="1:6" ht="14.25" customHeight="1">
      <c r="A35" s="55">
        <v>34203</v>
      </c>
      <c r="B35" s="56">
        <v>56049.75</v>
      </c>
      <c r="C35" s="56">
        <v>6556727.7800000003</v>
      </c>
      <c r="D35" s="19"/>
      <c r="E35" s="19"/>
      <c r="F35" s="37"/>
    </row>
    <row r="36" spans="1:6" ht="14.25" customHeight="1">
      <c r="A36" s="55">
        <v>410</v>
      </c>
      <c r="B36" s="56">
        <v>103379.93</v>
      </c>
      <c r="C36" s="56">
        <v>13044586.449999999</v>
      </c>
      <c r="D36" s="19"/>
      <c r="E36" s="19"/>
      <c r="F36" s="37"/>
    </row>
    <row r="37" spans="1:6" ht="14.25" customHeight="1">
      <c r="A37" s="55">
        <v>8712</v>
      </c>
      <c r="B37" s="56">
        <v>45056.49</v>
      </c>
      <c r="C37" s="56">
        <v>4984899.2</v>
      </c>
      <c r="D37" s="19"/>
      <c r="E37" s="19"/>
      <c r="F37" s="37"/>
    </row>
    <row r="38" spans="1:6" ht="14.25" customHeight="1">
      <c r="A38" s="55">
        <v>361</v>
      </c>
      <c r="B38" s="56">
        <v>0</v>
      </c>
      <c r="C38" s="56">
        <v>0</v>
      </c>
      <c r="D38" s="20"/>
      <c r="E38" s="20"/>
      <c r="F38" s="37"/>
    </row>
    <row r="39" spans="1:6" ht="14.25" customHeight="1">
      <c r="A39" s="55">
        <v>87640</v>
      </c>
      <c r="B39" s="56">
        <v>111996</v>
      </c>
      <c r="C39" s="56">
        <v>13498668.75</v>
      </c>
      <c r="D39" s="20"/>
      <c r="E39" s="20"/>
      <c r="F39" s="37"/>
    </row>
    <row r="40" spans="1:6" ht="14.25" customHeight="1">
      <c r="A40" s="55">
        <v>41055</v>
      </c>
      <c r="B40" s="56">
        <v>99633.119000000006</v>
      </c>
      <c r="C40" s="56">
        <v>12658178.699999999</v>
      </c>
      <c r="D40" s="20"/>
      <c r="E40" s="20"/>
      <c r="F40" s="37"/>
    </row>
    <row r="41" spans="1:6" ht="14.25" customHeight="1">
      <c r="A41" s="55">
        <v>87591</v>
      </c>
      <c r="B41" s="56">
        <v>11578.37</v>
      </c>
      <c r="C41" s="56">
        <v>1476738.97</v>
      </c>
      <c r="D41" s="20"/>
      <c r="E41" s="20"/>
      <c r="F41" s="37"/>
    </row>
    <row r="42" spans="1:6" ht="14.25" customHeight="1">
      <c r="A42" s="55"/>
      <c r="B42" s="56"/>
      <c r="C42" s="56"/>
      <c r="D42" s="20"/>
      <c r="E42" s="20"/>
      <c r="F42" s="37"/>
    </row>
    <row r="43" spans="1:6" ht="14.25" customHeight="1">
      <c r="A43" s="55"/>
      <c r="B43" s="56"/>
      <c r="C43" s="56"/>
      <c r="D43" s="20"/>
      <c r="E43" s="20"/>
      <c r="F43" s="37"/>
    </row>
    <row r="44" spans="1:6" ht="14.25" customHeight="1">
      <c r="A44" s="55"/>
      <c r="B44" s="56"/>
      <c r="C44" s="56"/>
      <c r="D44" s="20"/>
      <c r="E44" s="20"/>
      <c r="F44" s="37"/>
    </row>
    <row r="45" spans="1:6" ht="14.25" customHeight="1">
      <c r="A45" s="55"/>
      <c r="B45" s="56"/>
      <c r="C45" s="56"/>
      <c r="D45" s="20"/>
      <c r="E45" s="20"/>
      <c r="F45" s="37"/>
    </row>
    <row r="46" spans="1:6" ht="14.25" customHeight="1">
      <c r="A46" s="55"/>
      <c r="B46" s="56"/>
      <c r="C46" s="56"/>
      <c r="D46" s="20"/>
      <c r="E46" s="20"/>
      <c r="F46" s="37"/>
    </row>
    <row r="47" spans="1:6" ht="14.25" customHeight="1">
      <c r="A47" s="34"/>
      <c r="B47" s="35"/>
      <c r="C47" s="35"/>
      <c r="D47" s="20"/>
      <c r="E47" s="20"/>
      <c r="F47" s="37"/>
    </row>
    <row r="48" spans="1:6" ht="14.25" customHeight="1">
      <c r="A48" s="36"/>
      <c r="B48" s="37">
        <v>0</v>
      </c>
      <c r="C48" s="37">
        <v>0</v>
      </c>
      <c r="D48" s="20"/>
      <c r="E48" s="20"/>
      <c r="F48" s="37"/>
    </row>
    <row r="49" spans="1:6" ht="14.25" customHeight="1">
      <c r="A49" s="36"/>
      <c r="B49" s="37"/>
      <c r="C49" s="37"/>
      <c r="D49" s="20"/>
      <c r="E49" s="20"/>
      <c r="F49" s="37"/>
    </row>
    <row r="50" spans="1:6" ht="14.25" customHeight="1">
      <c r="A50" s="36"/>
      <c r="B50" s="37"/>
      <c r="C50" s="37"/>
      <c r="D50" s="20"/>
      <c r="E50" s="20"/>
      <c r="F50" s="37"/>
    </row>
    <row r="51" spans="1:6" ht="14.25" customHeight="1">
      <c r="A51" s="36"/>
      <c r="B51" s="37"/>
      <c r="C51" s="37"/>
      <c r="D51" s="20"/>
      <c r="E51" s="20"/>
      <c r="F51" s="37"/>
    </row>
    <row r="52" spans="1:6" ht="14.25" customHeight="1" thickBot="1">
      <c r="A52" s="36"/>
      <c r="B52" s="37"/>
      <c r="C52" s="37"/>
      <c r="D52" s="20"/>
      <c r="E52" s="20"/>
      <c r="F52" s="37"/>
    </row>
    <row r="53" spans="1:6" ht="15" customHeight="1" thickTop="1" thickBot="1">
      <c r="A53" s="13"/>
      <c r="B53" s="42">
        <f>SUM(B9:B52)</f>
        <v>12570959.191103695</v>
      </c>
      <c r="C53" s="42">
        <f>SUM(C9:C52)</f>
        <v>1300445003.6500001</v>
      </c>
      <c r="D53" s="21"/>
      <c r="E53" s="21"/>
      <c r="F53" s="42"/>
    </row>
    <row r="54" spans="1:6" ht="15" customHeight="1" thickTop="1"/>
    <row r="57" spans="1:6">
      <c r="B57" s="38"/>
      <c r="C57" s="38"/>
    </row>
  </sheetData>
  <mergeCells count="6">
    <mergeCell ref="F4:F6"/>
    <mergeCell ref="A2:F2"/>
    <mergeCell ref="A3:F3"/>
    <mergeCell ref="A7:F7"/>
    <mergeCell ref="A4:E4"/>
    <mergeCell ref="A6:E6"/>
  </mergeCells>
  <phoneticPr fontId="14" type="noConversion"/>
  <pageMargins left="0.28235294117647064" right="0.28235294117647064" top="0.42352941176470599" bottom="0.61137254901960791" header="0.50980392156862753" footer="0.50980392156862753"/>
  <pageSetup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D48"/>
  <sheetViews>
    <sheetView workbookViewId="0">
      <selection activeCell="B37" sqref="B37"/>
    </sheetView>
  </sheetViews>
  <sheetFormatPr defaultRowHeight="12.75"/>
  <cols>
    <col min="1" max="1" width="11.7109375" style="11" customWidth="1"/>
    <col min="2" max="2" width="15.7109375" style="11" customWidth="1"/>
    <col min="3" max="3" width="19.28515625" style="11" customWidth="1"/>
    <col min="4" max="4" width="14.7109375" style="11" customWidth="1"/>
    <col min="5" max="5" width="10.28515625" style="11" bestFit="1" customWidth="1"/>
    <col min="6" max="16384" width="9.140625" style="11"/>
  </cols>
  <sheetData>
    <row r="1" spans="1:4" ht="6.6" customHeight="1"/>
    <row r="2" spans="1:4" ht="22.5" customHeight="1">
      <c r="A2" s="86" t="s">
        <v>80</v>
      </c>
      <c r="B2" s="86"/>
      <c r="C2" s="86"/>
      <c r="D2" s="86"/>
    </row>
    <row r="3" spans="1:4" ht="19.5" customHeight="1">
      <c r="A3" s="87" t="s">
        <v>85</v>
      </c>
      <c r="B3" s="87"/>
      <c r="C3" s="87"/>
      <c r="D3" s="87"/>
    </row>
    <row r="4" spans="1:4" ht="15" customHeight="1">
      <c r="A4" s="81"/>
      <c r="B4" s="81"/>
      <c r="C4" s="88"/>
      <c r="D4" s="83" t="s">
        <v>86</v>
      </c>
    </row>
    <row r="5" spans="1:4" ht="20.25" customHeight="1">
      <c r="A5" s="81"/>
      <c r="B5" s="81"/>
      <c r="C5" s="88"/>
      <c r="D5" s="84"/>
    </row>
    <row r="6" spans="1:4" ht="27.95" customHeight="1">
      <c r="A6" s="85">
        <v>40756</v>
      </c>
      <c r="B6" s="85"/>
      <c r="C6" s="85"/>
      <c r="D6" s="85"/>
    </row>
    <row r="7" spans="1:4" ht="22.5" customHeight="1" thickBot="1">
      <c r="A7" s="25" t="s">
        <v>82</v>
      </c>
      <c r="B7" s="14" t="s">
        <v>87</v>
      </c>
      <c r="C7" s="14" t="s">
        <v>84</v>
      </c>
      <c r="D7" s="18"/>
    </row>
    <row r="8" spans="1:4" ht="15" customHeight="1" thickTop="1">
      <c r="A8" s="47">
        <v>204</v>
      </c>
      <c r="B8" s="48">
        <v>325073.57</v>
      </c>
      <c r="C8" s="48">
        <v>29940577.009999998</v>
      </c>
      <c r="D8" s="24"/>
    </row>
    <row r="9" spans="1:4" ht="15" customHeight="1">
      <c r="A9" s="47">
        <v>280</v>
      </c>
      <c r="B9" s="48">
        <v>3454521.5</v>
      </c>
      <c r="C9" s="48">
        <v>336346358.34000003</v>
      </c>
      <c r="D9" s="24"/>
    </row>
    <row r="10" spans="1:4" ht="15" customHeight="1">
      <c r="A10" s="47">
        <v>351</v>
      </c>
      <c r="B10" s="48">
        <v>175000</v>
      </c>
      <c r="C10" s="48">
        <v>21682500</v>
      </c>
      <c r="D10" s="24"/>
    </row>
    <row r="11" spans="1:4" ht="15" customHeight="1">
      <c r="A11" s="47">
        <v>863</v>
      </c>
      <c r="B11" s="48">
        <v>79543.858000000007</v>
      </c>
      <c r="C11" s="48">
        <v>4360077.07</v>
      </c>
      <c r="D11" s="24"/>
    </row>
    <row r="12" spans="1:4" ht="15" customHeight="1">
      <c r="A12" s="47">
        <v>1048</v>
      </c>
      <c r="B12" s="48">
        <v>30999.256904761904</v>
      </c>
      <c r="C12" s="48">
        <v>0</v>
      </c>
      <c r="D12" s="24"/>
    </row>
    <row r="13" spans="1:4" ht="15" customHeight="1">
      <c r="A13" s="47">
        <v>8162</v>
      </c>
      <c r="B13" s="48">
        <v>77791</v>
      </c>
      <c r="C13" s="48">
        <v>7679276.1299999999</v>
      </c>
      <c r="D13" s="24"/>
    </row>
    <row r="14" spans="1:4" ht="15" customHeight="1">
      <c r="A14" s="47">
        <v>8720</v>
      </c>
      <c r="B14" s="48">
        <v>0</v>
      </c>
      <c r="C14" s="48">
        <v>34899.11999999918</v>
      </c>
      <c r="D14" s="24"/>
    </row>
    <row r="15" spans="1:4" ht="15" customHeight="1">
      <c r="A15" s="47">
        <v>8949</v>
      </c>
      <c r="B15" s="48">
        <v>33327.448000000004</v>
      </c>
      <c r="C15" s="48">
        <v>973347.7</v>
      </c>
      <c r="D15" s="24"/>
    </row>
    <row r="16" spans="1:4" ht="15" customHeight="1">
      <c r="A16" s="47">
        <v>26797</v>
      </c>
      <c r="B16" s="48">
        <v>100000</v>
      </c>
      <c r="C16" s="48">
        <v>12390000</v>
      </c>
      <c r="D16" s="24"/>
    </row>
    <row r="17" spans="1:4" ht="15" customHeight="1">
      <c r="A17" s="47">
        <v>41430</v>
      </c>
      <c r="B17" s="48">
        <v>500914.72</v>
      </c>
      <c r="C17" s="48">
        <v>55115971.68999999</v>
      </c>
      <c r="D17" s="24"/>
    </row>
    <row r="18" spans="1:4" ht="15" customHeight="1">
      <c r="A18" s="47">
        <v>50029</v>
      </c>
      <c r="B18" s="48">
        <v>996902</v>
      </c>
      <c r="C18" s="48">
        <v>123497216.66</v>
      </c>
      <c r="D18" s="24"/>
    </row>
    <row r="19" spans="1:4" ht="15" customHeight="1">
      <c r="A19" s="47">
        <v>82396</v>
      </c>
      <c r="B19" s="48">
        <v>499886</v>
      </c>
      <c r="C19" s="48">
        <v>59319424.919999994</v>
      </c>
      <c r="D19" s="24"/>
    </row>
    <row r="20" spans="1:4" ht="15" customHeight="1">
      <c r="A20" s="47">
        <v>87045</v>
      </c>
      <c r="B20" s="48">
        <v>13409.823999999999</v>
      </c>
      <c r="C20" s="48">
        <v>592023.6100000001</v>
      </c>
      <c r="D20" s="24"/>
    </row>
    <row r="21" spans="1:4" ht="15" customHeight="1">
      <c r="A21" s="47">
        <v>87546</v>
      </c>
      <c r="B21" s="48">
        <v>377.101</v>
      </c>
      <c r="C21" s="48">
        <v>11076.830000000002</v>
      </c>
      <c r="D21" s="24"/>
    </row>
    <row r="22" spans="1:4" ht="15" customHeight="1">
      <c r="A22" s="47">
        <v>87547</v>
      </c>
      <c r="B22" s="48">
        <v>167817.883</v>
      </c>
      <c r="C22" s="48">
        <v>17723285.800000001</v>
      </c>
      <c r="D22" s="24"/>
    </row>
    <row r="23" spans="1:4" ht="15" customHeight="1">
      <c r="A23" s="47">
        <v>87548</v>
      </c>
      <c r="B23" s="48">
        <v>60008.837</v>
      </c>
      <c r="C23" s="48">
        <v>5389876.9199999999</v>
      </c>
      <c r="D23" s="24"/>
    </row>
    <row r="24" spans="1:4" ht="15" customHeight="1">
      <c r="A24" s="47">
        <v>87555</v>
      </c>
      <c r="B24" s="48">
        <v>44222.531999999999</v>
      </c>
      <c r="C24" s="48">
        <v>2027938.84</v>
      </c>
      <c r="D24" s="24"/>
    </row>
    <row r="25" spans="1:4" ht="15" customHeight="1">
      <c r="A25" s="47">
        <v>87604</v>
      </c>
      <c r="B25" s="48">
        <v>40761.639999999992</v>
      </c>
      <c r="C25" s="48">
        <v>4221924.8099999996</v>
      </c>
      <c r="D25" s="24"/>
    </row>
    <row r="26" spans="1:4" ht="15" customHeight="1">
      <c r="A26" s="47">
        <v>87644</v>
      </c>
      <c r="B26" s="48">
        <v>40808.619999999995</v>
      </c>
      <c r="C26" s="48">
        <v>1512490.74</v>
      </c>
      <c r="D26" s="24"/>
    </row>
    <row r="27" spans="1:4" ht="15" customHeight="1">
      <c r="A27" s="47">
        <v>87990</v>
      </c>
      <c r="B27" s="48">
        <v>240252.85599999997</v>
      </c>
      <c r="C27" s="48">
        <v>31738152.93</v>
      </c>
      <c r="D27" s="24"/>
    </row>
    <row r="28" spans="1:4" ht="15" customHeight="1">
      <c r="A28" s="47">
        <v>87992</v>
      </c>
      <c r="B28" s="48">
        <v>19390.062999999998</v>
      </c>
      <c r="C28" s="48">
        <v>651221.76000000001</v>
      </c>
      <c r="D28" s="24"/>
    </row>
    <row r="29" spans="1:4" ht="15" customHeight="1">
      <c r="A29" s="47">
        <v>92606</v>
      </c>
      <c r="B29" s="48">
        <v>105218</v>
      </c>
      <c r="C29" s="48">
        <v>9955244.4800000004</v>
      </c>
      <c r="D29" s="24"/>
    </row>
    <row r="30" spans="1:4" ht="15" customHeight="1">
      <c r="A30" s="47">
        <v>410</v>
      </c>
      <c r="B30" s="48">
        <v>258561.78714285715</v>
      </c>
      <c r="C30" s="48">
        <v>32785294.080000006</v>
      </c>
      <c r="D30" s="24"/>
    </row>
    <row r="31" spans="1:4" ht="15" customHeight="1">
      <c r="A31" s="47">
        <v>87466</v>
      </c>
      <c r="B31" s="48">
        <v>199939.66</v>
      </c>
      <c r="C31" s="48">
        <v>30200401.330000002</v>
      </c>
      <c r="D31" s="24"/>
    </row>
    <row r="32" spans="1:4" ht="15" customHeight="1">
      <c r="A32" s="47">
        <v>252</v>
      </c>
      <c r="B32" s="48">
        <v>-153.65999999997439</v>
      </c>
      <c r="C32" s="48">
        <v>448906.6400000006</v>
      </c>
      <c r="D32" s="24"/>
    </row>
    <row r="33" spans="1:4" ht="15" customHeight="1">
      <c r="A33" s="47">
        <v>87648</v>
      </c>
      <c r="B33" s="48">
        <v>221439</v>
      </c>
      <c r="C33" s="48">
        <v>25021979.27</v>
      </c>
      <c r="D33" s="24"/>
    </row>
    <row r="34" spans="1:4" ht="15" customHeight="1">
      <c r="A34" s="47">
        <v>206</v>
      </c>
      <c r="B34" s="48">
        <v>199291.59</v>
      </c>
      <c r="C34" s="48">
        <v>19342564.129999999</v>
      </c>
      <c r="D34" s="24"/>
    </row>
    <row r="35" spans="1:4" ht="15" customHeight="1">
      <c r="A35" s="47">
        <v>82355</v>
      </c>
      <c r="B35" s="48">
        <v>0</v>
      </c>
      <c r="C35" s="48">
        <v>-72281.2</v>
      </c>
      <c r="D35" s="24"/>
    </row>
    <row r="36" spans="1:4" ht="15" customHeight="1">
      <c r="A36" s="47">
        <v>215</v>
      </c>
      <c r="B36" s="48">
        <v>119655.53</v>
      </c>
      <c r="C36" s="48">
        <v>10787227.130000003</v>
      </c>
      <c r="D36" s="24"/>
    </row>
    <row r="37" spans="1:4" ht="15" customHeight="1">
      <c r="A37" s="47">
        <v>50392</v>
      </c>
      <c r="B37" s="48">
        <v>0</v>
      </c>
      <c r="C37" s="48">
        <v>0</v>
      </c>
      <c r="D37" s="24"/>
    </row>
    <row r="38" spans="1:4" ht="15" customHeight="1">
      <c r="A38" s="47"/>
      <c r="B38" s="48"/>
      <c r="C38" s="48"/>
      <c r="D38" s="24"/>
    </row>
    <row r="39" spans="1:4" ht="15" customHeight="1">
      <c r="A39" s="47"/>
      <c r="B39" s="48"/>
      <c r="C39" s="48"/>
      <c r="D39" s="24"/>
    </row>
    <row r="40" spans="1:4" ht="15" customHeight="1">
      <c r="A40" s="47"/>
      <c r="B40" s="48"/>
      <c r="C40" s="48"/>
      <c r="D40" s="24"/>
    </row>
    <row r="41" spans="1:4" ht="15" customHeight="1">
      <c r="A41" s="47"/>
      <c r="B41" s="48"/>
      <c r="C41" s="48"/>
      <c r="D41" s="24"/>
    </row>
    <row r="42" spans="1:4" ht="15" customHeight="1">
      <c r="A42" s="47"/>
      <c r="B42" s="48"/>
      <c r="C42" s="48"/>
      <c r="D42" s="24"/>
    </row>
    <row r="43" spans="1:4" ht="15" customHeight="1">
      <c r="A43" s="47"/>
      <c r="B43" s="48"/>
      <c r="C43" s="48"/>
      <c r="D43" s="24"/>
    </row>
    <row r="44" spans="1:4" ht="15" customHeight="1">
      <c r="A44" s="47"/>
      <c r="B44" s="48"/>
      <c r="C44" s="48"/>
      <c r="D44" s="24"/>
    </row>
    <row r="45" spans="1:4" ht="15" customHeight="1">
      <c r="A45" s="32"/>
      <c r="B45" s="33"/>
      <c r="C45" s="33"/>
      <c r="D45" s="24"/>
    </row>
    <row r="46" spans="1:4" ht="15" customHeight="1">
      <c r="A46" s="26"/>
      <c r="B46" s="15"/>
      <c r="C46" s="15"/>
      <c r="D46" s="24"/>
    </row>
    <row r="47" spans="1:4" ht="15" customHeight="1" thickBot="1">
      <c r="A47" s="27"/>
      <c r="B47" s="57">
        <f>SUM(B8:B46)</f>
        <v>8004960.616047618</v>
      </c>
      <c r="C47" s="57">
        <f>SUM(C8:C46)</f>
        <v>843676976.73999989</v>
      </c>
      <c r="D47" s="16"/>
    </row>
    <row r="48" spans="1:4" ht="13.5" thickTop="1"/>
  </sheetData>
  <mergeCells count="5">
    <mergeCell ref="D4:D5"/>
    <mergeCell ref="A6:D6"/>
    <mergeCell ref="A2:D2"/>
    <mergeCell ref="A3:D3"/>
    <mergeCell ref="A4:C5"/>
  </mergeCells>
  <phoneticPr fontId="14" type="noConversion"/>
  <pageMargins left="0.28235294117647064" right="0.28235294117647064" top="0.42352941176470599" bottom="0.82901960784313733" header="0.50980392156862753" footer="0.50980392156862753"/>
  <pageSetup scale="9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IU1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54" sqref="O54"/>
    </sheetView>
  </sheetViews>
  <sheetFormatPr defaultRowHeight="12.75"/>
  <cols>
    <col min="1" max="1" width="7.7109375" style="3" bestFit="1" customWidth="1"/>
    <col min="2" max="2" width="30.7109375" style="3" bestFit="1" customWidth="1"/>
    <col min="3" max="3" width="15" style="6" customWidth="1"/>
    <col min="4" max="4" width="15.140625" style="6" customWidth="1"/>
    <col min="5" max="5" width="15.140625" style="7" bestFit="1" customWidth="1"/>
    <col min="6" max="6" width="1.5703125" style="8" customWidth="1"/>
    <col min="7" max="7" width="15.140625" style="6" bestFit="1" customWidth="1"/>
    <col min="8" max="8" width="14.140625" style="6" bestFit="1" customWidth="1"/>
    <col min="9" max="9" width="15.7109375" style="7" customWidth="1"/>
    <col min="10" max="10" width="7.28515625" style="59" customWidth="1"/>
    <col min="11" max="11" width="10.85546875" style="3" bestFit="1" customWidth="1"/>
    <col min="12" max="12" width="9.140625" style="3"/>
    <col min="13" max="13" width="10.140625" style="3" bestFit="1" customWidth="1"/>
    <col min="14" max="14" width="10.85546875" style="3" bestFit="1" customWidth="1"/>
    <col min="15" max="16384" width="9.140625" style="3"/>
  </cols>
  <sheetData>
    <row r="1" spans="1:43" s="4" customFormat="1" ht="13.5" thickBot="1">
      <c r="A1" s="1"/>
      <c r="B1" s="1"/>
      <c r="C1" s="89" t="s">
        <v>2</v>
      </c>
      <c r="D1" s="89"/>
      <c r="E1" s="89"/>
      <c r="F1" s="2"/>
      <c r="G1" s="89" t="s">
        <v>98</v>
      </c>
      <c r="H1" s="89"/>
      <c r="I1" s="89"/>
      <c r="J1" s="59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3.5" thickTop="1">
      <c r="A2" s="5" t="s">
        <v>228</v>
      </c>
      <c r="B2" s="3" t="s">
        <v>229</v>
      </c>
      <c r="C2" s="6">
        <f>SUMIF('Physical - BBLS'!J:J,A2,'Physical - BBLS'!E:E)</f>
        <v>0</v>
      </c>
      <c r="D2" s="6">
        <f>SUMIF('S-3'!A:A,A2,'S-3'!B:B)</f>
        <v>0</v>
      </c>
      <c r="E2" s="7">
        <f t="shared" ref="E2:E35" si="0">+D2-C2</f>
        <v>0</v>
      </c>
      <c r="G2" s="6">
        <f>SUMIF('Physical - BBLS'!J:J,A2,'Physical - BBLS'!C:C)</f>
        <v>0</v>
      </c>
      <c r="H2" s="6">
        <f>SUMIF('P-3'!A:A,A2,'P-3'!B:B)</f>
        <v>0</v>
      </c>
      <c r="I2" s="7">
        <f t="shared" ref="I2:I35" si="1">+H2-G2</f>
        <v>0</v>
      </c>
    </row>
    <row r="3" spans="1:43">
      <c r="A3" s="5" t="s">
        <v>20</v>
      </c>
      <c r="B3" s="3" t="s">
        <v>21</v>
      </c>
      <c r="C3" s="6">
        <f>SUMIF('Physical - BBLS'!J:J,A3,'Physical - BBLS'!E:E)</f>
        <v>0</v>
      </c>
      <c r="D3" s="6">
        <f>SUMIF('S-3'!A:A,A3,'S-3'!B:B)</f>
        <v>0</v>
      </c>
      <c r="E3" s="7">
        <f t="shared" si="0"/>
        <v>0</v>
      </c>
      <c r="G3" s="6">
        <f>SUMIF('Physical - BBLS'!J:J,A3,'Physical - BBLS'!C:C)</f>
        <v>0</v>
      </c>
      <c r="H3" s="6">
        <f>SUMIF('P-3'!A:A,A3,'P-3'!B:B)</f>
        <v>0</v>
      </c>
      <c r="I3" s="7">
        <f t="shared" si="1"/>
        <v>0</v>
      </c>
    </row>
    <row r="4" spans="1:43">
      <c r="A4" s="5" t="s">
        <v>288</v>
      </c>
      <c r="B4" s="3" t="s">
        <v>289</v>
      </c>
      <c r="C4" s="6">
        <f>SUMIF('Physical - BBLS'!J:J,A4,'Physical - BBLS'!E:E)</f>
        <v>0</v>
      </c>
      <c r="D4" s="6">
        <f>SUMIF('S-3'!A:A,A4,'S-3'!B:B)</f>
        <v>0</v>
      </c>
      <c r="E4" s="7">
        <f t="shared" si="0"/>
        <v>0</v>
      </c>
      <c r="G4" s="6">
        <f>SUMIF('Physical - BBLS'!J:J,A4,'Physical - BBLS'!C:C)</f>
        <v>325074</v>
      </c>
      <c r="H4" s="6">
        <f>SUMIF('P-3'!A:A,A4,'P-3'!B:B)</f>
        <v>325073.57</v>
      </c>
      <c r="I4" s="7">
        <f t="shared" si="1"/>
        <v>-0.42999999999301508</v>
      </c>
    </row>
    <row r="5" spans="1:43">
      <c r="A5" s="5" t="s">
        <v>290</v>
      </c>
      <c r="B5" s="3" t="s">
        <v>291</v>
      </c>
      <c r="C5" s="6">
        <f>SUMIF('Physical - BBLS'!J:J,A5,'Physical - BBLS'!E:E)</f>
        <v>0</v>
      </c>
      <c r="D5" s="6">
        <f>SUMIF('S-3'!A:A,A5,'S-3'!B:B)</f>
        <v>0</v>
      </c>
      <c r="E5" s="7">
        <f t="shared" si="0"/>
        <v>0</v>
      </c>
      <c r="G5" s="6">
        <f>SUMIF('Physical - BBLS'!J:J,A5,'Physical - BBLS'!C:C)</f>
        <v>199292</v>
      </c>
      <c r="H5" s="6">
        <f>SUMIF('P-3'!A:A,A5,'P-3'!B:B)</f>
        <v>199291.59</v>
      </c>
      <c r="I5" s="7">
        <f t="shared" si="1"/>
        <v>-0.41000000000349246</v>
      </c>
    </row>
    <row r="6" spans="1:43">
      <c r="A6" s="5" t="s">
        <v>277</v>
      </c>
      <c r="B6" s="3" t="s">
        <v>278</v>
      </c>
      <c r="C6" s="6">
        <f>SUMIF('Physical - BBLS'!J:J,A6,'Physical - BBLS'!E:E)</f>
        <v>0</v>
      </c>
      <c r="D6" s="6">
        <f>SUMIF('S-3'!A:A,A6,'S-3'!B:B)</f>
        <v>0</v>
      </c>
      <c r="E6" s="7">
        <f>+D6-C6</f>
        <v>0</v>
      </c>
      <c r="G6" s="6">
        <f>SUMIF('Physical - BBLS'!J:J,A6,'Physical - BBLS'!C:C)</f>
        <v>119656</v>
      </c>
      <c r="H6" s="6">
        <f>SUMIF('P-3'!A:A,A6,'P-3'!B:B)</f>
        <v>119655.53</v>
      </c>
      <c r="I6" s="7">
        <f t="shared" si="1"/>
        <v>-0.47000000000116415</v>
      </c>
    </row>
    <row r="7" spans="1:43">
      <c r="A7" s="5" t="s">
        <v>279</v>
      </c>
      <c r="B7" s="3" t="s">
        <v>280</v>
      </c>
      <c r="C7" s="6">
        <f>SUMIF('Physical - BBLS'!J:J,A7,'Physical - BBLS'!E:E)</f>
        <v>0</v>
      </c>
      <c r="D7" s="6">
        <f>SUMIF('S-3'!A:A,A7,'S-3'!B:B)</f>
        <v>0</v>
      </c>
      <c r="E7" s="7">
        <f t="shared" si="0"/>
        <v>0</v>
      </c>
      <c r="G7" s="6">
        <f>SUMIF('Physical - BBLS'!J:J,A7,'Physical - BBLS'!C:C)</f>
        <v>-154</v>
      </c>
      <c r="H7" s="6">
        <f>SUMIF('P-3'!A:A,A7,'P-3'!B:B)</f>
        <v>-153.65999999997439</v>
      </c>
      <c r="I7" s="7">
        <f t="shared" si="1"/>
        <v>0.34000000002561137</v>
      </c>
    </row>
    <row r="8" spans="1:43">
      <c r="A8" s="5" t="s">
        <v>23</v>
      </c>
      <c r="B8" s="3" t="s">
        <v>154</v>
      </c>
      <c r="C8" s="6">
        <f>SUMIF('Physical - BBLS'!J:J,A8,'Physical - BBLS'!E:E)</f>
        <v>0</v>
      </c>
      <c r="D8" s="6">
        <f>SUMIF('S-3'!A:A,A8,'S-3'!B:B)</f>
        <v>0</v>
      </c>
      <c r="E8" s="7">
        <f t="shared" si="0"/>
        <v>0</v>
      </c>
      <c r="G8" s="6">
        <f>SUMIF('Physical - BBLS'!J:J,A8,'Physical - BBLS'!C:C)</f>
        <v>6909043</v>
      </c>
      <c r="H8" s="6">
        <f>SUMIF('P-3'!A:A,A8,'P-3'!B:B)</f>
        <v>3454521.5</v>
      </c>
      <c r="I8" s="7">
        <f t="shared" si="1"/>
        <v>-3454521.5</v>
      </c>
      <c r="J8" s="60" t="s">
        <v>22</v>
      </c>
    </row>
    <row r="9" spans="1:43">
      <c r="A9" s="5" t="s">
        <v>94</v>
      </c>
      <c r="B9" s="3" t="s">
        <v>155</v>
      </c>
      <c r="C9" s="6">
        <f>SUMIF('Physical - BBLS'!J:J,A9,'Physical - BBLS'!E:E)</f>
        <v>99637</v>
      </c>
      <c r="D9" s="6">
        <f>SUMIF('S-3'!A:A,A9,'S-3'!B:B)</f>
        <v>99637.27</v>
      </c>
      <c r="E9" s="7">
        <f>+D9-C9</f>
        <v>0.27000000000407454</v>
      </c>
      <c r="G9" s="6">
        <f>SUMIF('Physical - BBLS'!J:J,A9,'Physical - BBLS'!C:C)</f>
        <v>0</v>
      </c>
      <c r="H9" s="6">
        <f>SUMIF('P-3'!A:A,A9,'P-3'!B:B)</f>
        <v>0</v>
      </c>
      <c r="I9" s="7">
        <f>+H9-G9</f>
        <v>0</v>
      </c>
      <c r="J9" s="60"/>
    </row>
    <row r="10" spans="1:43">
      <c r="A10" s="5" t="s">
        <v>24</v>
      </c>
      <c r="B10" s="3" t="s">
        <v>25</v>
      </c>
      <c r="C10" s="6">
        <f>SUMIF('Physical - BBLS'!J:J,A10,'Physical - BBLS'!E:E)</f>
        <v>0</v>
      </c>
      <c r="D10" s="6">
        <f>SUMIF('S-3'!A:A,A10,'S-3'!B:B)</f>
        <v>0</v>
      </c>
      <c r="E10" s="7">
        <f t="shared" si="0"/>
        <v>0</v>
      </c>
      <c r="G10" s="6">
        <f>SUMIF('Physical - BBLS'!J:J,A10,'Physical - BBLS'!C:C)</f>
        <v>0</v>
      </c>
      <c r="H10" s="6">
        <f>SUMIF('P-3'!A:A,A10,'P-3'!B:B)</f>
        <v>0</v>
      </c>
      <c r="I10" s="7">
        <f t="shared" si="1"/>
        <v>0</v>
      </c>
    </row>
    <row r="11" spans="1:43">
      <c r="A11" s="5" t="s">
        <v>26</v>
      </c>
      <c r="B11" s="3" t="s">
        <v>27</v>
      </c>
      <c r="C11" s="6">
        <f>SUMIF('Physical - BBLS'!J:J,A11,'Physical - BBLS'!E:E)</f>
        <v>1128300</v>
      </c>
      <c r="D11" s="6">
        <f>SUMIF('S-3'!A:A,A11,'S-3'!B:B)</f>
        <v>1128300.24</v>
      </c>
      <c r="E11" s="7">
        <f t="shared" si="0"/>
        <v>0.23999999999068677</v>
      </c>
      <c r="G11" s="6">
        <f>SUMIF('Physical - BBLS'!J:J,A11,'Physical - BBLS'!C:C)</f>
        <v>175000</v>
      </c>
      <c r="H11" s="6">
        <f>SUMIF('P-3'!A:A,A11,'P-3'!B:B)</f>
        <v>175000</v>
      </c>
      <c r="I11" s="7">
        <f t="shared" si="1"/>
        <v>0</v>
      </c>
    </row>
    <row r="12" spans="1:43">
      <c r="A12" s="5" t="s">
        <v>28</v>
      </c>
      <c r="B12" s="3" t="s">
        <v>29</v>
      </c>
      <c r="C12" s="6">
        <f>SUMIF('Physical - BBLS'!J:J,A12,'Physical - BBLS'!E:E)</f>
        <v>0</v>
      </c>
      <c r="D12" s="6">
        <f>SUMIF('S-3'!A:A,A12,'S-3'!B:B)</f>
        <v>0</v>
      </c>
      <c r="E12" s="7">
        <f t="shared" si="0"/>
        <v>0</v>
      </c>
      <c r="G12" s="6">
        <f>SUMIF('Physical - BBLS'!J:J,A12,'Physical - BBLS'!C:C)</f>
        <v>0</v>
      </c>
      <c r="H12" s="6">
        <f>SUMIF('P-3'!A:A,A12,'P-3'!B:B)</f>
        <v>0</v>
      </c>
      <c r="I12" s="7">
        <f t="shared" si="1"/>
        <v>0</v>
      </c>
      <c r="J12" s="60"/>
    </row>
    <row r="13" spans="1:43">
      <c r="A13" s="5" t="s">
        <v>292</v>
      </c>
      <c r="B13" s="3" t="s">
        <v>293</v>
      </c>
      <c r="C13" s="6">
        <f>SUMIF('Physical - BBLS'!J:J,A13,'Physical - BBLS'!E:E)</f>
        <v>103380</v>
      </c>
      <c r="D13" s="6">
        <f>SUMIF('S-3'!A:A,A13,'S-3'!B:B)</f>
        <v>103379.93</v>
      </c>
      <c r="E13" s="7">
        <f t="shared" si="0"/>
        <v>-7.0000000006984919E-2</v>
      </c>
      <c r="G13" s="6">
        <f>SUMIF('Physical - BBLS'!J:J,A13,'Physical - BBLS'!C:C)</f>
        <v>258562</v>
      </c>
      <c r="H13" s="6">
        <f>SUMIF('P-3'!A:A,A13,'P-3'!B:B)</f>
        <v>258561.78714285715</v>
      </c>
      <c r="I13" s="7">
        <f t="shared" si="1"/>
        <v>-0.21285714284749702</v>
      </c>
      <c r="J13" s="60"/>
    </row>
    <row r="14" spans="1:43">
      <c r="A14" s="5" t="s">
        <v>30</v>
      </c>
      <c r="B14" s="3" t="s">
        <v>156</v>
      </c>
      <c r="C14" s="6">
        <f>SUMIF('Physical - BBLS'!J:J,A14,'Physical - BBLS'!E:E)</f>
        <v>39621</v>
      </c>
      <c r="D14" s="6">
        <f>SUMIF('S-3'!A:A,A14,'S-3'!B:B)</f>
        <v>39621</v>
      </c>
      <c r="E14" s="7">
        <f t="shared" si="0"/>
        <v>0</v>
      </c>
      <c r="G14" s="6">
        <f>SUMIF('Physical - BBLS'!J:J,A14,'Physical - BBLS'!C:C)</f>
        <v>0</v>
      </c>
      <c r="H14" s="6">
        <f>SUMIF('P-3'!A:A,A14,'P-3'!B:B)</f>
        <v>0</v>
      </c>
      <c r="I14" s="7">
        <f t="shared" si="1"/>
        <v>0</v>
      </c>
      <c r="J14" s="60"/>
    </row>
    <row r="15" spans="1:43">
      <c r="A15" s="5" t="s">
        <v>249</v>
      </c>
      <c r="B15" s="3" t="s">
        <v>250</v>
      </c>
      <c r="C15" s="6">
        <f>SUMIF('Physical - BBLS'!J:J,A15,'Physical - BBLS'!E:E)</f>
        <v>295368</v>
      </c>
      <c r="D15" s="6">
        <f>SUMIF('S-3'!A:A,A15,'S-3'!B:B)</f>
        <v>295368.33</v>
      </c>
      <c r="E15" s="7">
        <f t="shared" si="0"/>
        <v>0.33000000001629815</v>
      </c>
      <c r="G15" s="6">
        <f>SUMIF('Physical - BBLS'!J:J,A15,'Physical - BBLS'!C:C)</f>
        <v>0</v>
      </c>
      <c r="H15" s="6">
        <f>SUMIF('P-3'!A:A,A15,'P-3'!B:B)</f>
        <v>0</v>
      </c>
      <c r="I15" s="7">
        <f t="shared" si="1"/>
        <v>0</v>
      </c>
    </row>
    <row r="16" spans="1:43">
      <c r="A16" s="5" t="s">
        <v>31</v>
      </c>
      <c r="B16" s="9" t="s">
        <v>157</v>
      </c>
      <c r="C16" s="6">
        <f>SUMIF('Physical - BBLS'!J:J,A16,'Physical - BBLS'!E:E)</f>
        <v>0</v>
      </c>
      <c r="D16" s="6">
        <f>SUMIF('S-3'!A:A,A16,'S-3'!B:B)</f>
        <v>0</v>
      </c>
      <c r="E16" s="7">
        <f t="shared" si="0"/>
        <v>0</v>
      </c>
      <c r="G16" s="6">
        <f>SUMIF('Physical - BBLS'!J:J,A16,'Physical - BBLS'!C:C)</f>
        <v>0</v>
      </c>
      <c r="H16" s="6">
        <f>SUMIF('P-3'!A:A,A16,'P-3'!B:B)</f>
        <v>0</v>
      </c>
      <c r="I16" s="7">
        <f>+H16-G16</f>
        <v>0</v>
      </c>
      <c r="J16" s="64"/>
    </row>
    <row r="17" spans="1:14">
      <c r="A17" s="5" t="s">
        <v>32</v>
      </c>
      <c r="B17" s="3" t="s">
        <v>33</v>
      </c>
      <c r="C17" s="6">
        <f>SUMIF('Physical - BBLS'!J:J,A17,'Physical - BBLS'!E:E)</f>
        <v>0</v>
      </c>
      <c r="D17" s="6">
        <f>SUMIF('S-3'!A:A,A17,'S-3'!B:B)</f>
        <v>0</v>
      </c>
      <c r="E17" s="7">
        <f t="shared" si="0"/>
        <v>0</v>
      </c>
      <c r="G17" s="6">
        <f>SUMIF('Physical - BBLS'!J:J,A17,'Physical - BBLS'!C:C)</f>
        <v>79544</v>
      </c>
      <c r="H17" s="6">
        <f>SUMIF('P-3'!A:A,A17,'P-3'!B:B)</f>
        <v>79543.858000000007</v>
      </c>
      <c r="I17" s="7">
        <f t="shared" si="1"/>
        <v>-0.14199999999254942</v>
      </c>
    </row>
    <row r="18" spans="1:14">
      <c r="A18" s="5" t="s">
        <v>34</v>
      </c>
      <c r="B18" s="3" t="s">
        <v>158</v>
      </c>
      <c r="C18" s="6">
        <f>SUMIF('Physical - BBLS'!J:J,A18,'Physical - BBLS'!E:E)</f>
        <v>1356645</v>
      </c>
      <c r="D18" s="6">
        <f>SUMIF('S-3'!A:A,A18,'S-3'!B:B)</f>
        <v>1356647.068956943</v>
      </c>
      <c r="E18" s="7">
        <f t="shared" si="0"/>
        <v>2.0689569429960102</v>
      </c>
      <c r="G18" s="6">
        <f>SUMIF('Physical - BBLS'!J:J,A18,'Physical - BBLS'!C:C)</f>
        <v>0</v>
      </c>
      <c r="H18" s="6">
        <f>SUMIF('P-3'!A:A,A18,'P-3'!B:B)</f>
        <v>0</v>
      </c>
      <c r="I18" s="7">
        <f t="shared" si="1"/>
        <v>0</v>
      </c>
      <c r="J18" s="60"/>
      <c r="M18" s="45"/>
    </row>
    <row r="19" spans="1:14">
      <c r="A19" s="5" t="s">
        <v>35</v>
      </c>
      <c r="B19" s="3" t="s">
        <v>36</v>
      </c>
      <c r="C19" s="6">
        <f>SUMIF('Physical - BBLS'!J:J,A19,'Physical - BBLS'!E:E)</f>
        <v>0</v>
      </c>
      <c r="D19" s="6">
        <f>SUMIF('S-3'!A:A,A19,'S-3'!B:B)</f>
        <v>0</v>
      </c>
      <c r="E19" s="7">
        <f t="shared" si="0"/>
        <v>0</v>
      </c>
      <c r="G19" s="6">
        <f>SUMIF('Physical - BBLS'!J:J,A19,'Physical - BBLS'!C:C)</f>
        <v>0</v>
      </c>
      <c r="H19" s="6">
        <f>SUMIF('P-3'!A:A,A19,'P-3'!B:B)</f>
        <v>0</v>
      </c>
      <c r="I19" s="7">
        <f t="shared" si="1"/>
        <v>0</v>
      </c>
    </row>
    <row r="20" spans="1:14">
      <c r="A20" s="5" t="s">
        <v>37</v>
      </c>
      <c r="B20" s="3" t="s">
        <v>159</v>
      </c>
      <c r="C20" s="6">
        <f>SUMIF('Physical - BBLS'!J:J,A20,'Physical - BBLS'!E:E)</f>
        <v>0</v>
      </c>
      <c r="D20" s="6">
        <f>SUMIF('S-3'!A:A,A20,'S-3'!B:B)</f>
        <v>0</v>
      </c>
      <c r="E20" s="7">
        <f t="shared" si="0"/>
        <v>0</v>
      </c>
      <c r="G20" s="6">
        <f>SUMIF('Physical - BBLS'!J:J,A20,'Physical - BBLS'!C:C)</f>
        <v>0</v>
      </c>
      <c r="H20" s="6">
        <f>SUMIF('P-3'!A:A,A20,'P-3'!B:B)</f>
        <v>0</v>
      </c>
      <c r="I20" s="7">
        <f t="shared" si="1"/>
        <v>0</v>
      </c>
      <c r="N20" s="45"/>
    </row>
    <row r="21" spans="1:14">
      <c r="A21" s="5" t="s">
        <v>102</v>
      </c>
      <c r="B21" s="3" t="s">
        <v>160</v>
      </c>
      <c r="C21" s="6">
        <f>SUMIF('Physical - BBLS'!J:J,A21,'Physical - BBLS'!E:E)</f>
        <v>0</v>
      </c>
      <c r="D21" s="6">
        <f>SUMIF('S-3'!A:A,A21,'S-3'!B:B)</f>
        <v>0</v>
      </c>
      <c r="E21" s="7">
        <f t="shared" si="0"/>
        <v>0</v>
      </c>
      <c r="G21" s="6">
        <f>SUMIF('Physical - BBLS'!J:J,A21,'Physical - BBLS'!C:C)</f>
        <v>0</v>
      </c>
      <c r="H21" s="6">
        <f>SUMIF('P-3'!A:A,A21,'P-3'!B:B)</f>
        <v>0</v>
      </c>
      <c r="I21" s="7">
        <f t="shared" si="1"/>
        <v>0</v>
      </c>
      <c r="K21" s="6"/>
      <c r="L21" s="9"/>
      <c r="N21" s="45"/>
    </row>
    <row r="22" spans="1:14">
      <c r="A22" s="5" t="s">
        <v>38</v>
      </c>
      <c r="B22" s="3" t="s">
        <v>161</v>
      </c>
      <c r="C22" s="6">
        <f>SUMIF('Physical - BBLS'!J:J,A22,'Physical - BBLS'!E:E)</f>
        <v>71198</v>
      </c>
      <c r="D22" s="6">
        <f>SUMIF('S-3'!A:A,A22,'S-3'!B:B)</f>
        <v>71199.554146750204</v>
      </c>
      <c r="E22" s="7">
        <f t="shared" si="0"/>
        <v>1.5541467502043815</v>
      </c>
      <c r="G22" s="6">
        <f>SUMIF('Physical - BBLS'!J:J,A22,'Physical - BBLS'!C:C)</f>
        <v>0</v>
      </c>
      <c r="H22" s="6">
        <f>SUMIF('P-3'!A:A,A22,'P-3'!B:B)</f>
        <v>0</v>
      </c>
      <c r="I22" s="7">
        <f t="shared" si="1"/>
        <v>0</v>
      </c>
    </row>
    <row r="23" spans="1:14">
      <c r="A23" s="5" t="s">
        <v>206</v>
      </c>
      <c r="B23" s="3" t="s">
        <v>207</v>
      </c>
      <c r="C23" s="6">
        <f>SUMIF('Physical - BBLS'!J:J,A23,'Physical - BBLS'!E:E)</f>
        <v>61999</v>
      </c>
      <c r="D23" s="6">
        <f>SUMIF('S-3'!A:A,A23,'S-3'!B:B)</f>
        <v>0</v>
      </c>
      <c r="E23" s="7">
        <f t="shared" si="0"/>
        <v>-61999</v>
      </c>
      <c r="G23" s="6">
        <f>SUMIF('Physical - BBLS'!J:J,A23,'Physical - BBLS'!C:C)</f>
        <v>0</v>
      </c>
      <c r="H23" s="6">
        <f>SUMIF('P-3'!A:A,A23,'P-3'!B:B)</f>
        <v>30999.256904761904</v>
      </c>
      <c r="I23" s="7">
        <f t="shared" si="1"/>
        <v>30999.256904761904</v>
      </c>
    </row>
    <row r="24" spans="1:14">
      <c r="A24" s="5" t="s">
        <v>39</v>
      </c>
      <c r="B24" s="3" t="s">
        <v>162</v>
      </c>
      <c r="C24" s="6">
        <f>SUMIF('Physical - BBLS'!J:J,A24,'Physical - BBLS'!E:E)</f>
        <v>0</v>
      </c>
      <c r="D24" s="6">
        <f>SUMIF('S-3'!A:A,A24,'S-3'!B:B)</f>
        <v>0</v>
      </c>
      <c r="E24" s="7">
        <f t="shared" si="0"/>
        <v>0</v>
      </c>
      <c r="G24" s="6">
        <f>SUMIF('Physical - BBLS'!J:J,A24,'Physical - BBLS'!C:C)</f>
        <v>0</v>
      </c>
      <c r="H24" s="6">
        <f>SUMIF('P-3'!A:A,A24,'P-3'!B:B)</f>
        <v>0</v>
      </c>
      <c r="I24" s="7">
        <f t="shared" si="1"/>
        <v>0</v>
      </c>
    </row>
    <row r="25" spans="1:14">
      <c r="A25" s="5" t="s">
        <v>40</v>
      </c>
      <c r="B25" s="3" t="s">
        <v>163</v>
      </c>
      <c r="C25" s="6">
        <f>SUMIF('Physical - BBLS'!J:J,A25,'Physical - BBLS'!E:E)</f>
        <v>0</v>
      </c>
      <c r="D25" s="6">
        <f>SUMIF('S-3'!A:A,A25,'S-3'!B:B)</f>
        <v>0</v>
      </c>
      <c r="E25" s="7">
        <f t="shared" si="0"/>
        <v>0</v>
      </c>
      <c r="G25" s="6">
        <f>SUMIF('Physical - BBLS'!J:J,A25,'Physical - BBLS'!C:C)</f>
        <v>0</v>
      </c>
      <c r="H25" s="6">
        <f>SUMIF('P-3'!A:A,A25,'P-3'!B:B)</f>
        <v>0</v>
      </c>
      <c r="I25" s="7">
        <f t="shared" si="1"/>
        <v>0</v>
      </c>
    </row>
    <row r="26" spans="1:14">
      <c r="A26" s="5" t="s">
        <v>41</v>
      </c>
      <c r="B26" s="3" t="s">
        <v>164</v>
      </c>
      <c r="C26" s="6">
        <f>SUMIF('Physical - BBLS'!J:J,A26,'Physical - BBLS'!E:E)</f>
        <v>0</v>
      </c>
      <c r="D26" s="6">
        <f>SUMIF('S-3'!A:A,A26,'S-3'!B:B)</f>
        <v>0</v>
      </c>
      <c r="E26" s="7">
        <f t="shared" si="0"/>
        <v>0</v>
      </c>
      <c r="G26" s="6">
        <f>SUMIF('Physical - BBLS'!J:J,A26,'Physical - BBLS'!C:C)</f>
        <v>0</v>
      </c>
      <c r="H26" s="6">
        <f>SUMIF('P-3'!A:A,A26,'P-3'!B:B)</f>
        <v>0</v>
      </c>
      <c r="I26" s="7">
        <f t="shared" si="1"/>
        <v>0</v>
      </c>
    </row>
    <row r="27" spans="1:14">
      <c r="A27" s="5" t="s">
        <v>42</v>
      </c>
      <c r="B27" s="3" t="s">
        <v>165</v>
      </c>
      <c r="C27" s="6">
        <f>SUMIF('Physical - BBLS'!J:J,A27,'Physical - BBLS'!E:E)</f>
        <v>0</v>
      </c>
      <c r="D27" s="6">
        <f>SUMIF('S-3'!A:A,A27,'S-3'!B:B)</f>
        <v>0</v>
      </c>
      <c r="E27" s="7">
        <f t="shared" si="0"/>
        <v>0</v>
      </c>
      <c r="G27" s="6">
        <f>SUMIF('Physical - BBLS'!J:J,A27,'Physical - BBLS'!C:C)</f>
        <v>0</v>
      </c>
      <c r="H27" s="6">
        <f>SUMIF('P-3'!A:A,A27,'P-3'!B:B)</f>
        <v>0</v>
      </c>
      <c r="I27" s="7">
        <f t="shared" si="1"/>
        <v>0</v>
      </c>
    </row>
    <row r="28" spans="1:14">
      <c r="A28" s="5" t="s">
        <v>237</v>
      </c>
      <c r="B28" s="3" t="s">
        <v>238</v>
      </c>
      <c r="C28" s="6">
        <f>SUMIF('Physical - BBLS'!J:J,A28,'Physical - BBLS'!E:E)</f>
        <v>53008</v>
      </c>
      <c r="D28" s="6">
        <f>SUMIF('S-3'!A:A,A28,'S-3'!B:B)</f>
        <v>53008.19</v>
      </c>
      <c r="E28" s="7">
        <f t="shared" si="0"/>
        <v>0.19000000000232831</v>
      </c>
      <c r="G28" s="6">
        <f>SUMIF('Physical - BBLS'!J:J,A28,'Physical - BBLS'!C:C)</f>
        <v>0</v>
      </c>
      <c r="H28" s="6">
        <f>SUMIF('P-3'!A:A,A28,'P-3'!B:B)</f>
        <v>0</v>
      </c>
      <c r="I28" s="7">
        <f t="shared" si="1"/>
        <v>0</v>
      </c>
    </row>
    <row r="29" spans="1:14">
      <c r="A29" s="5" t="s">
        <v>43</v>
      </c>
      <c r="B29" s="3" t="s">
        <v>166</v>
      </c>
      <c r="C29" s="6">
        <f>SUMIF('Physical - BBLS'!J:J,A29,'Physical - BBLS'!E:E)</f>
        <v>0</v>
      </c>
      <c r="D29" s="6">
        <f>SUMIF('S-3'!A:A,A29,'S-3'!B:B)</f>
        <v>0</v>
      </c>
      <c r="E29" s="7">
        <f t="shared" si="0"/>
        <v>0</v>
      </c>
      <c r="G29" s="6">
        <f>SUMIF('Physical - BBLS'!J:J,A29,'Physical - BBLS'!C:C)</f>
        <v>0</v>
      </c>
      <c r="H29" s="6">
        <f>SUMIF('P-3'!A:A,A29,'P-3'!B:B)</f>
        <v>0</v>
      </c>
      <c r="I29" s="7">
        <f t="shared" si="1"/>
        <v>0</v>
      </c>
    </row>
    <row r="30" spans="1:14">
      <c r="A30" s="5" t="s">
        <v>44</v>
      </c>
      <c r="B30" s="3" t="s">
        <v>45</v>
      </c>
      <c r="C30" s="6">
        <f>SUMIF('Physical - BBLS'!J:J,A30,'Physical - BBLS'!E:E)</f>
        <v>0</v>
      </c>
      <c r="D30" s="6">
        <f>SUMIF('S-3'!A:A,A30,'S-3'!B:B)</f>
        <v>0</v>
      </c>
      <c r="E30" s="7">
        <f t="shared" si="0"/>
        <v>0</v>
      </c>
      <c r="G30" s="6">
        <f>SUMIF('Physical - BBLS'!J:J,A30,'Physical - BBLS'!C:C)</f>
        <v>0</v>
      </c>
      <c r="H30" s="6">
        <f>SUMIF('P-3'!A:A,A30,'P-3'!B:B)</f>
        <v>0</v>
      </c>
      <c r="I30" s="7">
        <f t="shared" si="1"/>
        <v>0</v>
      </c>
    </row>
    <row r="31" spans="1:14">
      <c r="A31" s="5" t="s">
        <v>46</v>
      </c>
      <c r="B31" s="3" t="s">
        <v>167</v>
      </c>
      <c r="C31" s="6">
        <f>SUMIF('Physical - BBLS'!J:J,A31,'Physical - BBLS'!E:E)</f>
        <v>0</v>
      </c>
      <c r="D31" s="6">
        <f>SUMIF('S-3'!A:A,A31,'S-3'!B:B)</f>
        <v>0</v>
      </c>
      <c r="E31" s="7">
        <f t="shared" si="0"/>
        <v>0</v>
      </c>
      <c r="G31" s="6">
        <f>SUMIF('Physical - BBLS'!J:J,A31,'Physical - BBLS'!C:C)</f>
        <v>0</v>
      </c>
      <c r="H31" s="6">
        <f>SUMIF('P-3'!A:A,A31,'P-3'!B:B)</f>
        <v>0</v>
      </c>
      <c r="I31" s="7">
        <f t="shared" si="1"/>
        <v>0</v>
      </c>
    </row>
    <row r="32" spans="1:14">
      <c r="A32" s="5" t="s">
        <v>47</v>
      </c>
      <c r="B32" s="3" t="s">
        <v>48</v>
      </c>
      <c r="C32" s="6">
        <f>SUMIF('Physical - BBLS'!J:J,A32,'Physical - BBLS'!E:E)</f>
        <v>0</v>
      </c>
      <c r="D32" s="6">
        <f>SUMIF('S-3'!A:A,A32,'S-3'!B:B)</f>
        <v>0</v>
      </c>
      <c r="E32" s="7">
        <f t="shared" si="0"/>
        <v>0</v>
      </c>
      <c r="G32" s="6">
        <f>SUMIF('Physical - BBLS'!J:J,A32,'Physical - BBLS'!C:C)</f>
        <v>0</v>
      </c>
      <c r="H32" s="6">
        <f>SUMIF('P-3'!A:A,A32,'P-3'!B:B)</f>
        <v>0</v>
      </c>
      <c r="I32" s="7">
        <f t="shared" si="1"/>
        <v>0</v>
      </c>
    </row>
    <row r="33" spans="1:11">
      <c r="A33" s="5" t="s">
        <v>49</v>
      </c>
      <c r="B33" s="3" t="s">
        <v>168</v>
      </c>
      <c r="C33" s="6">
        <f>SUMIF('Physical - BBLS'!J:J,A33,'Physical - BBLS'!E:E)</f>
        <v>0</v>
      </c>
      <c r="D33" s="6">
        <f>SUMIF('S-3'!A:A,A33,'S-3'!B:B)</f>
        <v>0</v>
      </c>
      <c r="E33" s="7">
        <f t="shared" si="0"/>
        <v>0</v>
      </c>
      <c r="G33" s="6">
        <f>SUMIF('Physical - BBLS'!J:J,A33,'Physical - BBLS'!C:C)</f>
        <v>0</v>
      </c>
      <c r="H33" s="6">
        <f>SUMIF('P-3'!A:A,A33,'P-3'!B:B)</f>
        <v>0</v>
      </c>
      <c r="I33" s="7">
        <f t="shared" si="1"/>
        <v>0</v>
      </c>
    </row>
    <row r="34" spans="1:11">
      <c r="A34" s="5" t="s">
        <v>50</v>
      </c>
      <c r="B34" s="3" t="s">
        <v>169</v>
      </c>
      <c r="C34" s="6">
        <f>SUMIF('Physical - BBLS'!J:J,A34,'Physical - BBLS'!E:E)</f>
        <v>0</v>
      </c>
      <c r="D34" s="6">
        <f>SUMIF('S-3'!A:A,A34,'S-3'!B:B)</f>
        <v>0</v>
      </c>
      <c r="E34" s="7">
        <f t="shared" si="0"/>
        <v>0</v>
      </c>
      <c r="G34" s="6">
        <f>SUMIF('Physical - BBLS'!J:J,A34,'Physical - BBLS'!C:C)</f>
        <v>77791</v>
      </c>
      <c r="H34" s="6">
        <f>SUMIF('P-3'!A:A,A34,'P-3'!B:B)</f>
        <v>77791</v>
      </c>
      <c r="I34" s="7">
        <f t="shared" si="1"/>
        <v>0</v>
      </c>
    </row>
    <row r="35" spans="1:11" ht="12.75" customHeight="1">
      <c r="A35" s="5" t="s">
        <v>51</v>
      </c>
      <c r="B35" s="3" t="s">
        <v>170</v>
      </c>
      <c r="C35" s="6">
        <f>SUMIF('Physical - BBLS'!J:J,A35,'Physical - BBLS'!E:E)</f>
        <v>0</v>
      </c>
      <c r="D35" s="6">
        <f>SUMIF('S-3'!A:A,A35,'S-3'!B:B)</f>
        <v>0</v>
      </c>
      <c r="E35" s="7">
        <f t="shared" si="0"/>
        <v>0</v>
      </c>
      <c r="G35" s="6">
        <f>SUMIF('Physical - BBLS'!J:J,A35,'Physical - BBLS'!C:C)</f>
        <v>0</v>
      </c>
      <c r="H35" s="6">
        <f>SUMIF('P-3'!A:A,A35,'P-3'!B:B)</f>
        <v>0</v>
      </c>
      <c r="I35" s="7">
        <f t="shared" si="1"/>
        <v>0</v>
      </c>
    </row>
    <row r="36" spans="1:11">
      <c r="A36" s="5" t="s">
        <v>52</v>
      </c>
      <c r="B36" s="3" t="s">
        <v>171</v>
      </c>
      <c r="C36" s="6">
        <f>SUMIF('Physical - BBLS'!J:J,A36,'Physical - BBLS'!E:E)</f>
        <v>0</v>
      </c>
      <c r="D36" s="6">
        <f>SUMIF('S-3'!A:A,A36,'S-3'!B:B)</f>
        <v>0</v>
      </c>
      <c r="E36" s="7">
        <f t="shared" ref="E36:E67" si="2">+D36-C36</f>
        <v>0</v>
      </c>
      <c r="G36" s="6">
        <f>SUMIF('Physical - BBLS'!J:J,A36,'Physical - BBLS'!C:C)</f>
        <v>0</v>
      </c>
      <c r="H36" s="6">
        <f>SUMIF('P-3'!A:A,A36,'P-3'!B:B)</f>
        <v>0</v>
      </c>
      <c r="I36" s="7">
        <f t="shared" ref="I36:I67" si="3">+H36-G36</f>
        <v>0</v>
      </c>
    </row>
    <row r="37" spans="1:11">
      <c r="A37" s="5" t="s">
        <v>202</v>
      </c>
      <c r="B37" s="3" t="s">
        <v>204</v>
      </c>
      <c r="C37" s="6">
        <f>SUMIF('Physical - BBLS'!J:J,A37,'Physical - BBLS'!E:E)</f>
        <v>0</v>
      </c>
      <c r="D37" s="6">
        <f>SUMIF('S-3'!A:A,A37,'S-3'!B:B)</f>
        <v>0</v>
      </c>
      <c r="E37" s="7">
        <f t="shared" si="2"/>
        <v>0</v>
      </c>
      <c r="G37" s="6">
        <f>SUMIF('Physical - BBLS'!J:J,A37,'Physical - BBLS'!C:C)</f>
        <v>0</v>
      </c>
      <c r="H37" s="6">
        <f>SUMIF('P-3'!A:A,A37,'P-3'!B:B)</f>
        <v>0</v>
      </c>
      <c r="I37" s="7">
        <f t="shared" si="3"/>
        <v>0</v>
      </c>
    </row>
    <row r="38" spans="1:11">
      <c r="A38" s="5" t="s">
        <v>53</v>
      </c>
      <c r="B38" s="3" t="s">
        <v>172</v>
      </c>
      <c r="C38" s="6">
        <f>SUMIF('Physical - BBLS'!J:J,A38,'Physical - BBLS'!E:E)</f>
        <v>0</v>
      </c>
      <c r="D38" s="6">
        <f>SUMIF('S-3'!A:A,A38,'S-3'!B:B)</f>
        <v>0</v>
      </c>
      <c r="E38" s="7">
        <f t="shared" si="2"/>
        <v>0</v>
      </c>
      <c r="G38" s="6">
        <f>SUMIF('Physical - BBLS'!J:J,A38,'Physical - BBLS'!C:C)</f>
        <v>0</v>
      </c>
      <c r="H38" s="6">
        <f>SUMIF('P-3'!A:A,A38,'P-3'!B:B)</f>
        <v>0</v>
      </c>
      <c r="I38" s="7">
        <f t="shared" si="3"/>
        <v>0</v>
      </c>
    </row>
    <row r="39" spans="1:11">
      <c r="A39" s="5" t="s">
        <v>54</v>
      </c>
      <c r="B39" s="3" t="s">
        <v>173</v>
      </c>
      <c r="C39" s="6">
        <f>SUMIF('Physical - BBLS'!J:J,A39,'Physical - BBLS'!E:E)</f>
        <v>143473</v>
      </c>
      <c r="D39" s="6">
        <f>SUMIF('S-3'!A:A,A39,'S-3'!B:B)</f>
        <v>143473.39500000002</v>
      </c>
      <c r="E39" s="7">
        <f t="shared" si="2"/>
        <v>0.39500000001862645</v>
      </c>
      <c r="G39" s="6">
        <f>SUMIF('Physical - BBLS'!J:J,A39,'Physical - BBLS'!C:C)</f>
        <v>0</v>
      </c>
      <c r="H39" s="6">
        <f>SUMIF('P-3'!A:A,A39,'P-3'!B:B)</f>
        <v>0</v>
      </c>
      <c r="I39" s="7">
        <f t="shared" si="3"/>
        <v>0</v>
      </c>
    </row>
    <row r="40" spans="1:11">
      <c r="A40" s="5" t="s">
        <v>55</v>
      </c>
      <c r="B40" s="3" t="s">
        <v>174</v>
      </c>
      <c r="C40" s="6">
        <f>SUMIF('Physical - BBLS'!J:J,A40,'Physical - BBLS'!E:E)</f>
        <v>0</v>
      </c>
      <c r="D40" s="6">
        <f>SUMIF('S-3'!A:A,A40,'S-3'!B:B)</f>
        <v>0</v>
      </c>
      <c r="E40" s="7">
        <f t="shared" si="2"/>
        <v>0</v>
      </c>
      <c r="G40" s="6">
        <f>SUMIF('Physical - BBLS'!J:J,A40,'Physical - BBLS'!C:C)</f>
        <v>0</v>
      </c>
      <c r="H40" s="6">
        <f>SUMIF('P-3'!A:A,A40,'P-3'!B:B)</f>
        <v>0</v>
      </c>
      <c r="I40" s="7">
        <f t="shared" si="3"/>
        <v>0</v>
      </c>
    </row>
    <row r="41" spans="1:11">
      <c r="A41" s="5" t="s">
        <v>56</v>
      </c>
      <c r="B41" s="3" t="s">
        <v>175</v>
      </c>
      <c r="C41" s="6">
        <f>SUMIF('Physical - BBLS'!J:J,A41,'Physical - BBLS'!E:E)</f>
        <v>45056</v>
      </c>
      <c r="D41" s="6">
        <f>SUMIF('S-3'!A:A,A41,'S-3'!B:B)</f>
        <v>45056.49</v>
      </c>
      <c r="E41" s="7">
        <f t="shared" si="2"/>
        <v>0.48999999999796273</v>
      </c>
      <c r="G41" s="6">
        <f>SUMIF('Physical - BBLS'!J:J,A41,'Physical - BBLS'!C:C)</f>
        <v>0</v>
      </c>
      <c r="H41" s="6">
        <f>SUMIF('P-3'!A:A,A41,'P-3'!B:B)</f>
        <v>0</v>
      </c>
      <c r="I41" s="7">
        <f t="shared" si="3"/>
        <v>0</v>
      </c>
    </row>
    <row r="42" spans="1:11">
      <c r="A42" s="5" t="s">
        <v>57</v>
      </c>
      <c r="B42" s="3" t="s">
        <v>176</v>
      </c>
      <c r="C42" s="6">
        <f>SUMIF('Physical - BBLS'!J:J,A42,'Physical - BBLS'!E:E)</f>
        <v>0</v>
      </c>
      <c r="D42" s="6">
        <f>SUMIF('S-3'!A:A,A42,'S-3'!B:B)</f>
        <v>0</v>
      </c>
      <c r="E42" s="7">
        <f t="shared" si="2"/>
        <v>0</v>
      </c>
      <c r="G42" s="6">
        <f>SUMIF('Physical - BBLS'!J:J,A42,'Physical - BBLS'!C:C)</f>
        <v>0</v>
      </c>
      <c r="H42" s="6">
        <f>SUMIF('P-3'!A:A,A42,'P-3'!B:B)</f>
        <v>0</v>
      </c>
      <c r="I42" s="7">
        <f t="shared" si="3"/>
        <v>0</v>
      </c>
    </row>
    <row r="43" spans="1:11">
      <c r="A43" s="5" t="s">
        <v>58</v>
      </c>
      <c r="B43" s="3" t="s">
        <v>177</v>
      </c>
      <c r="C43" s="6">
        <f>SUMIF('Physical - BBLS'!J:J,A43,'Physical - BBLS'!E:E)</f>
        <v>0</v>
      </c>
      <c r="D43" s="6">
        <f>SUMIF('S-3'!A:A,A43,'S-3'!B:B)</f>
        <v>0</v>
      </c>
      <c r="E43" s="7">
        <f t="shared" si="2"/>
        <v>0</v>
      </c>
      <c r="G43" s="6">
        <f>SUMIF('Physical - BBLS'!J:J,A43,'Physical - BBLS'!C:C)</f>
        <v>0</v>
      </c>
      <c r="H43" s="6">
        <f>SUMIF('P-3'!A:A,A43,'P-3'!B:B)</f>
        <v>0</v>
      </c>
      <c r="I43" s="7">
        <f t="shared" si="3"/>
        <v>0</v>
      </c>
    </row>
    <row r="44" spans="1:11">
      <c r="A44" s="5" t="s">
        <v>59</v>
      </c>
      <c r="B44" s="3" t="s">
        <v>178</v>
      </c>
      <c r="C44" s="6">
        <f>SUMIF('Physical - BBLS'!J:J,A44,'Physical - BBLS'!E:E)</f>
        <v>0</v>
      </c>
      <c r="D44" s="6">
        <f>SUMIF('S-3'!A:A,A44,'S-3'!B:B)</f>
        <v>0</v>
      </c>
      <c r="E44" s="7">
        <f t="shared" si="2"/>
        <v>0</v>
      </c>
      <c r="G44" s="6">
        <f>SUMIF('Physical - BBLS'!J:J,A44,'Physical - BBLS'!C:C)</f>
        <v>0</v>
      </c>
      <c r="H44" s="6">
        <f>SUMIF('P-3'!A:A,A44,'P-3'!B:B)</f>
        <v>0</v>
      </c>
      <c r="I44" s="7">
        <f t="shared" si="3"/>
        <v>0</v>
      </c>
    </row>
    <row r="45" spans="1:11">
      <c r="A45" s="5" t="s">
        <v>60</v>
      </c>
      <c r="B45" s="3" t="s">
        <v>179</v>
      </c>
      <c r="C45" s="6">
        <f>SUMIF('Physical - BBLS'!J:J,A45,'Physical - BBLS'!E:E)</f>
        <v>0</v>
      </c>
      <c r="D45" s="6">
        <f>SUMIF('S-3'!A:A,A45,'S-3'!B:B)</f>
        <v>0</v>
      </c>
      <c r="E45" s="7">
        <f t="shared" si="2"/>
        <v>0</v>
      </c>
      <c r="G45" s="6">
        <f>SUMIF('Physical - BBLS'!J:J,A45,'Physical - BBLS'!C:C)</f>
        <v>0</v>
      </c>
      <c r="H45" s="6">
        <f>SUMIF('P-3'!A:A,A45,'P-3'!B:B)</f>
        <v>0</v>
      </c>
      <c r="I45" s="7">
        <f t="shared" si="3"/>
        <v>0</v>
      </c>
    </row>
    <row r="46" spans="1:11">
      <c r="A46" s="5" t="s">
        <v>255</v>
      </c>
      <c r="B46" s="3" t="s">
        <v>256</v>
      </c>
      <c r="C46" s="6">
        <f>SUMIF('Physical - BBLS'!J:J,A46,'Physical - BBLS'!E:E)</f>
        <v>0</v>
      </c>
      <c r="D46" s="6">
        <f>SUMIF('S-3'!A:A,A46,'S-3'!B:B)</f>
        <v>0</v>
      </c>
      <c r="E46" s="7">
        <f t="shared" si="2"/>
        <v>0</v>
      </c>
      <c r="G46" s="6">
        <f>SUMIF('Physical - BBLS'!J:J,A46,'Physical - BBLS'!C:C)</f>
        <v>60071</v>
      </c>
      <c r="H46" s="6">
        <f>SUMIF('P-3'!A:A,A46,'P-3'!B:B)</f>
        <v>33327.448000000004</v>
      </c>
      <c r="I46" s="7">
        <f t="shared" si="3"/>
        <v>-26743.551999999996</v>
      </c>
      <c r="J46" s="59">
        <v>8949</v>
      </c>
      <c r="K46" s="59" t="s">
        <v>210</v>
      </c>
    </row>
    <row r="47" spans="1:11">
      <c r="A47" s="5" t="s">
        <v>61</v>
      </c>
      <c r="B47" s="3" t="s">
        <v>180</v>
      </c>
      <c r="C47" s="6">
        <f>SUMIF('Physical - BBLS'!J:J,A47,'Physical - BBLS'!E:E)</f>
        <v>0</v>
      </c>
      <c r="D47" s="6">
        <f>SUMIF('S-3'!A:A,A47,'S-3'!B:B)</f>
        <v>0</v>
      </c>
      <c r="E47" s="7">
        <f t="shared" si="2"/>
        <v>0</v>
      </c>
      <c r="G47" s="6">
        <f>SUMIF('Physical - BBLS'!J:J,A47,'Physical - BBLS'!C:C)</f>
        <v>0</v>
      </c>
      <c r="H47" s="6">
        <f>SUMIF('P-3'!A:A,A47,'P-3'!B:B)</f>
        <v>0</v>
      </c>
      <c r="I47" s="7">
        <f t="shared" si="3"/>
        <v>0</v>
      </c>
    </row>
    <row r="48" spans="1:11">
      <c r="A48" s="5" t="s">
        <v>62</v>
      </c>
      <c r="B48" s="3" t="s">
        <v>181</v>
      </c>
      <c r="C48" s="6">
        <f>SUMIF('Physical - BBLS'!J:J,A48,'Physical - BBLS'!E:E)</f>
        <v>0</v>
      </c>
      <c r="D48" s="6">
        <f>SUMIF('S-3'!A:A,A48,'S-3'!B:B)</f>
        <v>0</v>
      </c>
      <c r="E48" s="7">
        <f t="shared" si="2"/>
        <v>0</v>
      </c>
      <c r="G48" s="6">
        <f>SUMIF('Physical - BBLS'!J:J,A48,'Physical - BBLS'!C:C)</f>
        <v>0</v>
      </c>
      <c r="H48" s="6">
        <f>SUMIF('P-3'!A:A,A48,'P-3'!B:B)</f>
        <v>0</v>
      </c>
      <c r="I48" s="7">
        <f t="shared" si="3"/>
        <v>0</v>
      </c>
    </row>
    <row r="49" spans="1:9">
      <c r="A49" s="5" t="s">
        <v>268</v>
      </c>
      <c r="B49" s="3" t="s">
        <v>269</v>
      </c>
      <c r="C49" s="6">
        <f>SUMIF('Physical - BBLS'!J:J,A49,'Physical - BBLS'!E:E)</f>
        <v>0</v>
      </c>
      <c r="D49" s="6">
        <f>SUMIF('S-3'!A:A,A49,'S-3'!B:B)</f>
        <v>0</v>
      </c>
      <c r="E49" s="7">
        <f t="shared" si="2"/>
        <v>0</v>
      </c>
      <c r="G49" s="6">
        <f>SUMIF('Physical - BBLS'!J:J,A49,'Physical - BBLS'!C:C)</f>
        <v>0</v>
      </c>
      <c r="H49" s="6">
        <f>SUMIF('P-3'!A:A,A49,'P-3'!B:B)</f>
        <v>0</v>
      </c>
      <c r="I49" s="7">
        <f t="shared" si="3"/>
        <v>0</v>
      </c>
    </row>
    <row r="50" spans="1:9">
      <c r="A50" s="5" t="s">
        <v>294</v>
      </c>
      <c r="B50" s="3" t="s">
        <v>295</v>
      </c>
      <c r="C50" s="6">
        <f>SUMIF('Physical - BBLS'!J:J,A50,'Physical - BBLS'!E:E)</f>
        <v>0</v>
      </c>
      <c r="D50" s="6">
        <f>SUMIF('S-3'!A:A,A50,'S-3'!B:B)</f>
        <v>0</v>
      </c>
      <c r="E50" s="7">
        <f t="shared" si="2"/>
        <v>0</v>
      </c>
      <c r="G50" s="6">
        <f>SUMIF('Physical - BBLS'!J:J,A50,'Physical - BBLS'!C:C)</f>
        <v>0</v>
      </c>
      <c r="H50" s="6">
        <f>SUMIF('P-3'!A:A,A50,'P-3'!B:B)</f>
        <v>0</v>
      </c>
      <c r="I50" s="7">
        <f t="shared" si="3"/>
        <v>0</v>
      </c>
    </row>
    <row r="51" spans="1:9">
      <c r="A51" s="5" t="s">
        <v>63</v>
      </c>
      <c r="B51" s="3" t="s">
        <v>182</v>
      </c>
      <c r="C51" s="6">
        <f>SUMIF('Physical - BBLS'!J:J,A51,'Physical - BBLS'!E:E)</f>
        <v>579118</v>
      </c>
      <c r="D51" s="6">
        <f>SUMIF('S-3'!A:A,A51,'S-3'!B:B)</f>
        <v>579117.75</v>
      </c>
      <c r="E51" s="7">
        <f t="shared" si="2"/>
        <v>-0.25</v>
      </c>
      <c r="G51" s="6">
        <f>SUMIF('Physical - BBLS'!J:J,A51,'Physical - BBLS'!C:C)</f>
        <v>0</v>
      </c>
      <c r="H51" s="6">
        <f>SUMIF('P-3'!A:A,A51,'P-3'!B:B)</f>
        <v>0</v>
      </c>
      <c r="I51" s="7">
        <f t="shared" si="3"/>
        <v>0</v>
      </c>
    </row>
    <row r="52" spans="1:9">
      <c r="A52" s="5" t="s">
        <v>263</v>
      </c>
      <c r="B52" s="3" t="s">
        <v>264</v>
      </c>
      <c r="C52" s="6">
        <f>SUMIF('Physical - BBLS'!J:J,A52,'Physical - BBLS'!E:E)</f>
        <v>1020338</v>
      </c>
      <c r="D52" s="6">
        <f>SUMIF('S-3'!A:A,A52,'S-3'!B:B)</f>
        <v>1020337.5999999999</v>
      </c>
      <c r="E52" s="7">
        <f t="shared" si="2"/>
        <v>-0.40000000013969839</v>
      </c>
      <c r="G52" s="6">
        <f>SUMIF('Physical - BBLS'!J:J,A52,'Physical - BBLS'!C:C)</f>
        <v>100000</v>
      </c>
      <c r="H52" s="6">
        <f>SUMIF('P-3'!A:A,A52,'P-3'!B:B)</f>
        <v>100000</v>
      </c>
      <c r="I52" s="7">
        <f t="shared" si="3"/>
        <v>0</v>
      </c>
    </row>
    <row r="53" spans="1:9">
      <c r="A53" s="5" t="s">
        <v>64</v>
      </c>
      <c r="B53" s="3" t="s">
        <v>65</v>
      </c>
      <c r="C53" s="6">
        <f>SUMIF('Physical - BBLS'!J:J,A53,'Physical - BBLS'!E:E)</f>
        <v>1325161</v>
      </c>
      <c r="D53" s="6">
        <f>SUMIF('S-3'!A:A,A53,'S-3'!B:B)</f>
        <v>1325160.9040000001</v>
      </c>
      <c r="E53" s="7">
        <f t="shared" si="2"/>
        <v>-9.5999999903142452E-2</v>
      </c>
      <c r="G53" s="46">
        <f>SUMIF('Physical - BBLS'!J:J,A53,'Physical - BBLS'!C:C)</f>
        <v>0</v>
      </c>
      <c r="H53" s="46">
        <f>SUMIF('P-3'!A:A,A53,'P-3'!B:B)</f>
        <v>0</v>
      </c>
      <c r="I53" s="7">
        <f t="shared" si="3"/>
        <v>0</v>
      </c>
    </row>
    <row r="54" spans="1:9">
      <c r="A54" s="5" t="s">
        <v>97</v>
      </c>
      <c r="B54" s="3" t="s">
        <v>183</v>
      </c>
      <c r="C54" s="6">
        <f>SUMIF('Physical - BBLS'!J:J,A54,'Physical - BBLS'!E:E)</f>
        <v>2635787</v>
      </c>
      <c r="D54" s="6">
        <f>SUMIF('S-3'!A:A,A54,'S-3'!B:B)</f>
        <v>2635787.04</v>
      </c>
      <c r="E54" s="7">
        <f t="shared" si="2"/>
        <v>4.0000000037252903E-2</v>
      </c>
      <c r="G54" s="6">
        <f>SUMIF('Physical - BBLS'!J:J,A54,'Physical - BBLS'!C:C)</f>
        <v>0</v>
      </c>
      <c r="H54" s="6">
        <f>SUMIF('P-3'!A:A,A54,'P-3'!B:B)</f>
        <v>0</v>
      </c>
      <c r="I54" s="7">
        <f t="shared" si="3"/>
        <v>0</v>
      </c>
    </row>
    <row r="55" spans="1:9">
      <c r="A55" s="5" t="s">
        <v>66</v>
      </c>
      <c r="B55" s="3" t="s">
        <v>184</v>
      </c>
      <c r="C55" s="6">
        <f>SUMIF('Physical - BBLS'!J:J,A55,'Physical - BBLS'!E:E)</f>
        <v>0</v>
      </c>
      <c r="D55" s="6">
        <f>SUMIF('S-3'!A:A,A55,'S-3'!B:B)</f>
        <v>0</v>
      </c>
      <c r="E55" s="7">
        <f t="shared" si="2"/>
        <v>0</v>
      </c>
      <c r="G55" s="6">
        <f>SUMIF('Physical - BBLS'!J:J,A55,'Physical - BBLS'!C:C)</f>
        <v>0</v>
      </c>
      <c r="H55" s="6">
        <f>SUMIF('P-3'!A:A,A55,'P-3'!B:B)</f>
        <v>0</v>
      </c>
      <c r="I55" s="7">
        <f t="shared" si="3"/>
        <v>0</v>
      </c>
    </row>
    <row r="56" spans="1:9">
      <c r="A56" s="5" t="s">
        <v>217</v>
      </c>
      <c r="B56" s="3" t="s">
        <v>218</v>
      </c>
      <c r="C56" s="6">
        <f>SUMIF('Physical - BBLS'!J:J,A56,'Physical - BBLS'!E:E)</f>
        <v>56050</v>
      </c>
      <c r="D56" s="6">
        <f>SUMIF('S-3'!A:A,A56,'S-3'!B:B)</f>
        <v>56049.75</v>
      </c>
      <c r="E56" s="7">
        <f t="shared" si="2"/>
        <v>-0.25</v>
      </c>
      <c r="G56" s="6">
        <f>SUMIF('Physical - BBLS'!J:J,A56,'Physical - BBLS'!C:C)</f>
        <v>0</v>
      </c>
      <c r="H56" s="6">
        <f>SUMIF('P-3'!A:A,A56,'P-3'!B:B)</f>
        <v>0</v>
      </c>
      <c r="I56" s="7">
        <f>+H56-G56</f>
        <v>0</v>
      </c>
    </row>
    <row r="57" spans="1:9">
      <c r="A57" s="5" t="s">
        <v>67</v>
      </c>
      <c r="B57" s="3" t="s">
        <v>185</v>
      </c>
      <c r="C57" s="6">
        <f>SUMIF('Physical - BBLS'!J:J,A57,'Physical - BBLS'!E:E)</f>
        <v>0</v>
      </c>
      <c r="D57" s="6">
        <f>SUMIF('S-3'!A:A,A57,'S-3'!B:B)</f>
        <v>0</v>
      </c>
      <c r="E57" s="7">
        <f t="shared" si="2"/>
        <v>0</v>
      </c>
      <c r="G57" s="6">
        <f>SUMIF('Physical - BBLS'!J:J,A57,'Physical - BBLS'!C:C)</f>
        <v>0</v>
      </c>
      <c r="H57" s="6">
        <f>SUMIF('P-3'!A:A,A57,'P-3'!B:B)</f>
        <v>0</v>
      </c>
      <c r="I57" s="7">
        <f t="shared" si="3"/>
        <v>0</v>
      </c>
    </row>
    <row r="58" spans="1:9">
      <c r="A58" s="5" t="s">
        <v>68</v>
      </c>
      <c r="B58" s="3" t="s">
        <v>186</v>
      </c>
      <c r="C58" s="6">
        <f>SUMIF('Physical - BBLS'!J:J,A58,'Physical - BBLS'!E:E)</f>
        <v>0</v>
      </c>
      <c r="D58" s="6">
        <f>SUMIF('S-3'!A:A,A58,'S-3'!B:B)</f>
        <v>0</v>
      </c>
      <c r="E58" s="7">
        <f t="shared" si="2"/>
        <v>0</v>
      </c>
      <c r="G58" s="6">
        <f>SUMIF('Physical - BBLS'!J:J,A58,'Physical - BBLS'!C:C)</f>
        <v>0</v>
      </c>
      <c r="H58" s="6">
        <f>SUMIF('P-3'!A:A,A58,'P-3'!B:B)</f>
        <v>0</v>
      </c>
      <c r="I58" s="7">
        <f t="shared" si="3"/>
        <v>0</v>
      </c>
    </row>
    <row r="59" spans="1:9">
      <c r="A59" s="5" t="s">
        <v>296</v>
      </c>
      <c r="B59" s="3" t="s">
        <v>297</v>
      </c>
      <c r="C59" s="6">
        <f>SUMIF('Physical - BBLS'!J:J,A59,'Physical - BBLS'!E:E)</f>
        <v>99633</v>
      </c>
      <c r="D59" s="6">
        <f>SUMIF('S-3'!A:A,A59,'S-3'!B:B)</f>
        <v>99633.119000000006</v>
      </c>
      <c r="E59" s="7">
        <f t="shared" si="2"/>
        <v>0.1190000000060536</v>
      </c>
      <c r="G59" s="6">
        <f>SUMIF('Physical - BBLS'!J:J,A59,'Physical - BBLS'!C:C)</f>
        <v>0</v>
      </c>
      <c r="H59" s="6">
        <f>SUMIF('P-3'!A:A,A59,'P-3'!B:B)</f>
        <v>0</v>
      </c>
      <c r="I59" s="7">
        <f t="shared" si="3"/>
        <v>0</v>
      </c>
    </row>
    <row r="60" spans="1:9">
      <c r="A60" s="5" t="s">
        <v>69</v>
      </c>
      <c r="B60" s="3" t="s">
        <v>187</v>
      </c>
      <c r="C60" s="6">
        <f>SUMIF('Physical - BBLS'!J:J,A60,'Physical - BBLS'!E:E)</f>
        <v>1531954</v>
      </c>
      <c r="D60" s="6">
        <f>SUMIF('S-3'!A:A,A60,'S-3'!B:B)</f>
        <v>1531953.85</v>
      </c>
      <c r="E60" s="7">
        <f t="shared" si="2"/>
        <v>-0.14999999990686774</v>
      </c>
      <c r="G60" s="6">
        <f>SUMIF('Physical - BBLS'!J:J,A60,'Physical - BBLS'!C:C)</f>
        <v>0</v>
      </c>
      <c r="H60" s="6">
        <f>SUMIF('P-3'!A:A,A60,'P-3'!B:B)</f>
        <v>0</v>
      </c>
      <c r="I60" s="7">
        <f t="shared" si="3"/>
        <v>0</v>
      </c>
    </row>
    <row r="61" spans="1:9">
      <c r="A61" s="5" t="s">
        <v>153</v>
      </c>
      <c r="B61" s="3" t="s">
        <v>209</v>
      </c>
      <c r="C61" s="6">
        <f>SUMIF('Physical - BBLS'!J:J,A61,'Physical - BBLS'!E:E)</f>
        <v>0</v>
      </c>
      <c r="D61" s="6">
        <f>SUMIF('S-3'!A:A,A61,'S-3'!B:B)</f>
        <v>0</v>
      </c>
      <c r="E61" s="7">
        <f t="shared" si="2"/>
        <v>0</v>
      </c>
      <c r="G61" s="6">
        <f>SUMIF('Physical - BBLS'!J:J,A61,'Physical - BBLS'!C:C)</f>
        <v>500915</v>
      </c>
      <c r="H61" s="6">
        <f>SUMIF('P-3'!A:A,A61,'P-3'!B:B)</f>
        <v>500914.72</v>
      </c>
      <c r="I61" s="7">
        <f t="shared" si="3"/>
        <v>-0.28000000002793968</v>
      </c>
    </row>
    <row r="62" spans="1:9">
      <c r="A62" s="5" t="s">
        <v>70</v>
      </c>
      <c r="B62" s="3" t="s">
        <v>257</v>
      </c>
      <c r="C62" s="6">
        <f>SUMIF('Physical - BBLS'!J:J,A62,'Physical - BBLS'!E:E)</f>
        <v>0</v>
      </c>
      <c r="D62" s="6">
        <f>SUMIF('S-3'!A:A,A62,'S-3'!B:B)</f>
        <v>0</v>
      </c>
      <c r="E62" s="7">
        <f t="shared" si="2"/>
        <v>0</v>
      </c>
      <c r="G62" s="6">
        <f>SUMIF('Physical - BBLS'!J:J,A62,'Physical - BBLS'!C:C)</f>
        <v>0</v>
      </c>
      <c r="H62" s="6">
        <f>SUMIF('P-3'!A:A,A62,'P-3'!B:B)</f>
        <v>0</v>
      </c>
      <c r="I62" s="7">
        <f t="shared" si="3"/>
        <v>0</v>
      </c>
    </row>
    <row r="63" spans="1:9">
      <c r="A63" s="5" t="s">
        <v>270</v>
      </c>
      <c r="B63" s="3" t="s">
        <v>271</v>
      </c>
      <c r="C63" s="6">
        <f>SUMIF('Physical - BBLS'!J:J,A63,'Physical - BBLS'!E:E)</f>
        <v>0</v>
      </c>
      <c r="D63" s="6">
        <f>SUMIF('S-3'!A:A,A63,'S-3'!B:B)</f>
        <v>0</v>
      </c>
      <c r="E63" s="7">
        <f t="shared" si="2"/>
        <v>0</v>
      </c>
      <c r="G63" s="6">
        <f>SUMIF('Physical - BBLS'!J:J,A63,'Physical - BBLS'!C:C)</f>
        <v>996902</v>
      </c>
      <c r="H63" s="6">
        <f>SUMIF('P-3'!A:A,A63,'P-3'!B:B)</f>
        <v>996902</v>
      </c>
      <c r="I63" s="7">
        <f t="shared" si="3"/>
        <v>0</v>
      </c>
    </row>
    <row r="64" spans="1:9">
      <c r="A64" s="5" t="s">
        <v>71</v>
      </c>
      <c r="B64" s="3" t="s">
        <v>242</v>
      </c>
      <c r="C64" s="6">
        <f>SUMIF('Physical - BBLS'!J:J,A64,'Physical - BBLS'!E:E)</f>
        <v>0</v>
      </c>
      <c r="D64" s="6">
        <f>SUMIF('S-3'!A:A,A64,'S-3'!B:B)</f>
        <v>0</v>
      </c>
      <c r="E64" s="7">
        <f t="shared" si="2"/>
        <v>0</v>
      </c>
      <c r="G64" s="6">
        <f>SUMIF('Physical - BBLS'!J:J,A64,'Physical - BBLS'!C:C)</f>
        <v>0</v>
      </c>
      <c r="H64" s="6">
        <f>SUMIF('P-3'!A:A,A64,'P-3'!B:B)</f>
        <v>0</v>
      </c>
      <c r="I64" s="7">
        <f t="shared" si="3"/>
        <v>0</v>
      </c>
    </row>
    <row r="65" spans="1:12">
      <c r="A65" s="5" t="s">
        <v>72</v>
      </c>
      <c r="B65" s="3" t="s">
        <v>188</v>
      </c>
      <c r="C65" s="6">
        <f>SUMIF('Physical - BBLS'!J:J,A65,'Physical - BBLS'!E:E)</f>
        <v>49234</v>
      </c>
      <c r="D65" s="6">
        <f>SUMIF('S-3'!A:A,A65,'S-3'!B:B)</f>
        <v>49234.458000000006</v>
      </c>
      <c r="E65" s="7">
        <f t="shared" si="2"/>
        <v>0.45800000000599539</v>
      </c>
      <c r="G65" s="6">
        <f>SUMIF('Physical - BBLS'!J:J,A65,'Physical - BBLS'!C:C)</f>
        <v>0</v>
      </c>
      <c r="H65" s="6">
        <f>SUMIF('P-3'!A:A,A65,'P-3'!B:B)</f>
        <v>0</v>
      </c>
      <c r="I65" s="7">
        <f t="shared" si="3"/>
        <v>0</v>
      </c>
    </row>
    <row r="66" spans="1:12">
      <c r="A66" s="5" t="s">
        <v>73</v>
      </c>
      <c r="B66" s="3" t="s">
        <v>189</v>
      </c>
      <c r="C66" s="6">
        <f>SUMIF('Physical - BBLS'!J:J,A66,'Physical - BBLS'!E:E)</f>
        <v>0</v>
      </c>
      <c r="D66" s="6">
        <f>SUMIF('S-3'!A:A,A66,'S-3'!B:B)</f>
        <v>0</v>
      </c>
      <c r="E66" s="7">
        <f t="shared" si="2"/>
        <v>0</v>
      </c>
      <c r="G66" s="6">
        <f>SUMIF('Physical - BBLS'!J:J,A66,'Physical - BBLS'!C:C)</f>
        <v>0</v>
      </c>
      <c r="H66" s="6">
        <f>SUMIF('P-3'!A:A,A66,'P-3'!B:B)</f>
        <v>0</v>
      </c>
      <c r="I66" s="7">
        <f t="shared" si="3"/>
        <v>0</v>
      </c>
    </row>
    <row r="67" spans="1:12">
      <c r="A67" s="5" t="s">
        <v>74</v>
      </c>
      <c r="B67" s="3" t="s">
        <v>190</v>
      </c>
      <c r="C67" s="6">
        <f>SUMIF('Physical - BBLS'!J:J,A67,'Physical - BBLS'!E:E)</f>
        <v>0</v>
      </c>
      <c r="D67" s="6">
        <f>SUMIF('S-3'!A:A,A67,'S-3'!B:B)</f>
        <v>0</v>
      </c>
      <c r="E67" s="7">
        <f t="shared" si="2"/>
        <v>0</v>
      </c>
      <c r="G67" s="6">
        <f>SUMIF('Physical - BBLS'!J:J,A67,'Physical - BBLS'!C:C)</f>
        <v>0</v>
      </c>
      <c r="H67" s="6">
        <f>SUMIF('P-3'!A:A,A67,'P-3'!B:B)</f>
        <v>0</v>
      </c>
      <c r="I67" s="7">
        <f t="shared" si="3"/>
        <v>0</v>
      </c>
      <c r="K67" s="45"/>
      <c r="L67" s="45"/>
    </row>
    <row r="68" spans="1:12">
      <c r="A68" s="5" t="s">
        <v>92</v>
      </c>
      <c r="B68" s="3" t="s">
        <v>93</v>
      </c>
      <c r="C68" s="6">
        <f>SUMIF('Physical - BBLS'!J:J,A68,'Physical - BBLS'!E:E)</f>
        <v>0</v>
      </c>
      <c r="D68" s="6">
        <f>SUMIF('S-3'!A:A,A68,'S-3'!B:B)</f>
        <v>0</v>
      </c>
      <c r="E68" s="7">
        <f t="shared" ref="E68:E98" si="4">+D68-C68</f>
        <v>0</v>
      </c>
      <c r="G68" s="6">
        <f>SUMIF('Physical - BBLS'!J:J,A68,'Physical - BBLS'!C:C)</f>
        <v>499886</v>
      </c>
      <c r="H68" s="6">
        <f>SUMIF('P-3'!A:A,A68,'P-3'!B:B)</f>
        <v>499886</v>
      </c>
      <c r="I68" s="7">
        <f t="shared" ref="I68:I98" si="5">+H68-G68</f>
        <v>0</v>
      </c>
      <c r="K68" s="45"/>
      <c r="L68" s="45"/>
    </row>
    <row r="69" spans="1:12">
      <c r="A69" s="5" t="s">
        <v>0</v>
      </c>
      <c r="B69" s="3" t="s">
        <v>1</v>
      </c>
      <c r="C69" s="6">
        <f>SUMIF('Physical - BBLS'!J:J,A69,'Physical - BBLS'!E:E)</f>
        <v>0</v>
      </c>
      <c r="D69" s="6">
        <f>SUMIF('S-3'!A:A,A69,'S-3'!B:B)</f>
        <v>0</v>
      </c>
      <c r="E69" s="7">
        <f t="shared" si="4"/>
        <v>0</v>
      </c>
      <c r="G69" s="6">
        <f>SUMIF('Physical - BBLS'!J:J,A69,'Physical - BBLS'!C:C)</f>
        <v>0</v>
      </c>
      <c r="H69" s="6">
        <f>SUMIF('P-3'!A:A,A69,'P-3'!B:B)</f>
        <v>0</v>
      </c>
      <c r="I69" s="7">
        <f t="shared" si="5"/>
        <v>0</v>
      </c>
      <c r="K69" s="45"/>
      <c r="L69" s="45"/>
    </row>
    <row r="70" spans="1:12">
      <c r="A70" s="5" t="s">
        <v>104</v>
      </c>
      <c r="B70" s="3" t="s">
        <v>191</v>
      </c>
      <c r="C70" s="6">
        <f>SUMIF('Physical - BBLS'!J:J,A70,'Physical - BBLS'!E:E)</f>
        <v>77692</v>
      </c>
      <c r="D70" s="6">
        <f>SUMIF('S-3'!A:A,A70,'S-3'!B:B)</f>
        <v>77692.482000000004</v>
      </c>
      <c r="E70" s="7">
        <f t="shared" si="4"/>
        <v>0.48200000000360887</v>
      </c>
      <c r="G70" s="6">
        <f>SUMIF('Physical - BBLS'!J:J,A70,'Physical - BBLS'!C:C)</f>
        <v>0</v>
      </c>
      <c r="H70" s="6">
        <f>SUMIF('P-3'!A:A,A70,'P-3'!B:B)</f>
        <v>0</v>
      </c>
      <c r="I70" s="7">
        <f t="shared" si="5"/>
        <v>0</v>
      </c>
      <c r="K70" s="45"/>
      <c r="L70" s="45"/>
    </row>
    <row r="71" spans="1:12">
      <c r="A71" s="5" t="s">
        <v>101</v>
      </c>
      <c r="B71" s="3" t="s">
        <v>192</v>
      </c>
      <c r="C71" s="6">
        <f>SUMIF('Physical - BBLS'!J:J,A71,'Physical - BBLS'!E:E)</f>
        <v>318549</v>
      </c>
      <c r="D71" s="6">
        <f>SUMIF('S-3'!A:A,A71,'S-3'!B:B)</f>
        <v>318549.41600000003</v>
      </c>
      <c r="E71" s="7">
        <f t="shared" si="4"/>
        <v>0.41600000002654269</v>
      </c>
      <c r="G71" s="6">
        <f>SUMIF('Physical - BBLS'!J:J,A71,'Physical - BBLS'!C:C)</f>
        <v>0</v>
      </c>
      <c r="H71" s="6">
        <f>SUMIF('P-3'!A:A,A71,'P-3'!B:B)</f>
        <v>0</v>
      </c>
      <c r="I71" s="7">
        <f t="shared" si="5"/>
        <v>0</v>
      </c>
      <c r="K71" s="45"/>
      <c r="L71" s="45"/>
    </row>
    <row r="72" spans="1:12">
      <c r="A72" s="5" t="s">
        <v>219</v>
      </c>
      <c r="B72" s="3" t="s">
        <v>220</v>
      </c>
      <c r="C72" s="6">
        <f>SUMIF('Physical - BBLS'!J:J,A72,'Physical - BBLS'!E:E)</f>
        <v>0</v>
      </c>
      <c r="D72" s="6">
        <f>SUMIF('S-3'!A:A,A72,'S-3'!B:B)</f>
        <v>0</v>
      </c>
      <c r="E72" s="7">
        <f t="shared" si="4"/>
        <v>0</v>
      </c>
      <c r="G72" s="6">
        <f>SUMIF('Physical - BBLS'!J:J,A72,'Physical - BBLS'!C:C)</f>
        <v>13410</v>
      </c>
      <c r="H72" s="6">
        <f>SUMIF('P-3'!A:A,A72,'P-3'!B:B)</f>
        <v>13409.823999999999</v>
      </c>
      <c r="I72" s="7">
        <f t="shared" si="5"/>
        <v>-0.17600000000129512</v>
      </c>
      <c r="K72" s="45"/>
      <c r="L72" s="45"/>
    </row>
    <row r="73" spans="1:12">
      <c r="A73" s="5" t="s">
        <v>234</v>
      </c>
      <c r="B73" s="3" t="s">
        <v>235</v>
      </c>
      <c r="C73" s="6">
        <f>SUMIF('Physical - BBLS'!J:J,A73,'Physical - BBLS'!E:E)</f>
        <v>0</v>
      </c>
      <c r="D73" s="6">
        <f>SUMIF('S-3'!A:A,A73,'S-3'!B:B)</f>
        <v>0</v>
      </c>
      <c r="E73" s="7">
        <f t="shared" si="4"/>
        <v>0</v>
      </c>
      <c r="G73" s="6">
        <f>SUMIF('Physical - BBLS'!J:J,A73,'Physical - BBLS'!C:C)</f>
        <v>199940</v>
      </c>
      <c r="H73" s="6">
        <f>SUMIF('P-3'!A:A,A73,'P-3'!B:B)</f>
        <v>199939.66</v>
      </c>
      <c r="I73" s="7">
        <f t="shared" si="5"/>
        <v>-0.33999999999650754</v>
      </c>
      <c r="J73" s="61"/>
      <c r="K73" s="45"/>
      <c r="L73" s="45"/>
    </row>
    <row r="74" spans="1:12">
      <c r="A74" s="43" t="s">
        <v>99</v>
      </c>
      <c r="B74" s="44" t="s">
        <v>193</v>
      </c>
      <c r="C74" s="6">
        <f>SUMIF('Physical - BBLS'!J:J,A74,'Physical - BBLS'!E:E)</f>
        <v>5198</v>
      </c>
      <c r="D74" s="6">
        <f>SUMIF('S-3'!A:A,A74,'S-3'!B:B)</f>
        <v>5198.1949999999997</v>
      </c>
      <c r="E74" s="7">
        <f t="shared" si="4"/>
        <v>0.19499999999970896</v>
      </c>
      <c r="G74" s="6">
        <f>SUMIF('Physical - BBLS'!J:J,A74,'Physical - BBLS'!C:C)</f>
        <v>0</v>
      </c>
      <c r="H74" s="6">
        <f>SUMIF('P-3'!A:A,A74,'P-3'!B:B)</f>
        <v>0</v>
      </c>
      <c r="I74" s="7">
        <f t="shared" si="5"/>
        <v>0</v>
      </c>
      <c r="J74" s="61"/>
      <c r="K74" s="45"/>
      <c r="L74" s="45"/>
    </row>
    <row r="75" spans="1:12">
      <c r="A75" s="43" t="s">
        <v>258</v>
      </c>
      <c r="B75" s="44" t="s">
        <v>259</v>
      </c>
      <c r="C75" s="6">
        <f>SUMIF('Physical - BBLS'!J:J,A75,'Physical - BBLS'!E:E)</f>
        <v>243</v>
      </c>
      <c r="D75" s="6">
        <f>SUMIF('S-3'!A:A,A75,'S-3'!B:B)</f>
        <v>242.702</v>
      </c>
      <c r="E75" s="7">
        <f t="shared" si="4"/>
        <v>-0.29800000000000182</v>
      </c>
      <c r="G75" s="6">
        <f>SUMIF('Physical - BBLS'!J:J,A75,'Physical - BBLS'!C:C)</f>
        <v>0</v>
      </c>
      <c r="H75" s="6">
        <f>SUMIF('P-3'!A:A,A75,'P-3'!B:B)</f>
        <v>0</v>
      </c>
      <c r="I75" s="7">
        <f t="shared" si="5"/>
        <v>0</v>
      </c>
      <c r="J75" s="61"/>
      <c r="K75" s="45"/>
      <c r="L75" s="45"/>
    </row>
    <row r="76" spans="1:12">
      <c r="A76" s="43" t="s">
        <v>298</v>
      </c>
      <c r="B76" s="44" t="s">
        <v>299</v>
      </c>
      <c r="C76" s="6">
        <f>SUMIF('Physical - BBLS'!J:J,A76,'Physical - BBLS'!E:E)</f>
        <v>0</v>
      </c>
      <c r="D76" s="6">
        <f>SUMIF('S-3'!A:A,A76,'S-3'!B:B)</f>
        <v>0</v>
      </c>
      <c r="E76" s="7">
        <f t="shared" si="4"/>
        <v>0</v>
      </c>
      <c r="G76" s="6">
        <f>SUMIF('Physical - BBLS'!J:J,A76,'Physical - BBLS'!C:C)</f>
        <v>377</v>
      </c>
      <c r="H76" s="6">
        <f>SUMIF('P-3'!A:A,A76,'P-3'!B:B)</f>
        <v>377.101</v>
      </c>
      <c r="I76" s="7">
        <f t="shared" si="5"/>
        <v>0.10099999999999909</v>
      </c>
      <c r="J76" s="61"/>
      <c r="K76" s="45"/>
      <c r="L76" s="45"/>
    </row>
    <row r="77" spans="1:12" ht="13.5" customHeight="1">
      <c r="A77" s="43" t="s">
        <v>221</v>
      </c>
      <c r="B77" s="44" t="s">
        <v>222</v>
      </c>
      <c r="C77" s="6">
        <f>SUMIF('Physical - BBLS'!J:J,A77,'Physical - BBLS'!E:E)</f>
        <v>0</v>
      </c>
      <c r="D77" s="6">
        <f>SUMIF('S-3'!A:A,A77,'S-3'!B:B)</f>
        <v>0</v>
      </c>
      <c r="E77" s="7">
        <f t="shared" si="4"/>
        <v>0</v>
      </c>
      <c r="G77" s="6">
        <f>SUMIF('Physical - BBLS'!J:J,A77,'Physical - BBLS'!C:C)</f>
        <v>167818</v>
      </c>
      <c r="H77" s="6">
        <f>SUMIF('P-3'!A:A,A77,'P-3'!B:B)</f>
        <v>167817.883</v>
      </c>
      <c r="I77" s="7">
        <f t="shared" si="5"/>
        <v>-0.11699999999837019</v>
      </c>
      <c r="J77" s="61"/>
      <c r="K77" s="45"/>
      <c r="L77" s="45"/>
    </row>
    <row r="78" spans="1:12">
      <c r="A78" s="43" t="s">
        <v>239</v>
      </c>
      <c r="B78" s="44" t="s">
        <v>240</v>
      </c>
      <c r="C78" s="6">
        <f>SUMIF('Physical - BBLS'!J:J,A78,'Physical - BBLS'!E:E)</f>
        <v>0</v>
      </c>
      <c r="D78" s="6">
        <f>SUMIF('S-3'!A:A,A78,'S-3'!B:B)</f>
        <v>0</v>
      </c>
      <c r="E78" s="7">
        <f t="shared" si="4"/>
        <v>0</v>
      </c>
      <c r="G78" s="6">
        <f>SUMIF('Physical - BBLS'!J:J,A78,'Physical - BBLS'!C:C)</f>
        <v>60009</v>
      </c>
      <c r="H78" s="6">
        <f>SUMIF('P-3'!A:A,A78,'P-3'!B:B)</f>
        <v>60008.837</v>
      </c>
      <c r="I78" s="7">
        <f t="shared" si="5"/>
        <v>-0.16300000000046566</v>
      </c>
      <c r="J78" s="61"/>
      <c r="K78" s="45"/>
      <c r="L78" s="45"/>
    </row>
    <row r="79" spans="1:12">
      <c r="A79" s="43" t="s">
        <v>95</v>
      </c>
      <c r="B79" s="44" t="s">
        <v>194</v>
      </c>
      <c r="C79" s="6">
        <f>SUMIF('Physical - BBLS'!J:J,A79,'Physical - BBLS'!E:E)</f>
        <v>0</v>
      </c>
      <c r="D79" s="6">
        <f>SUMIF('S-3'!A:A,A79,'S-3'!B:B)</f>
        <v>0</v>
      </c>
      <c r="E79" s="7">
        <f t="shared" si="4"/>
        <v>0</v>
      </c>
      <c r="G79" s="6">
        <f>SUMIF('Physical - BBLS'!J:J,A79,'Physical - BBLS'!C:C)</f>
        <v>44223</v>
      </c>
      <c r="H79" s="6">
        <f>SUMIF('P-3'!A:A,A79,'P-3'!B:B)</f>
        <v>44222.531999999999</v>
      </c>
      <c r="I79" s="7">
        <f t="shared" si="5"/>
        <v>-0.4680000000007567</v>
      </c>
      <c r="J79" s="61"/>
      <c r="K79" s="45"/>
      <c r="L79" s="45"/>
    </row>
    <row r="80" spans="1:12">
      <c r="A80" s="43" t="s">
        <v>75</v>
      </c>
      <c r="B80" s="44" t="s">
        <v>195</v>
      </c>
      <c r="C80" s="6">
        <f>SUMIF('Physical - BBLS'!J:J,A80,'Physical - BBLS'!E:E)</f>
        <v>574502</v>
      </c>
      <c r="D80" s="6">
        <f>SUMIF('S-3'!A:A,A80,'S-3'!B:B)</f>
        <v>574502.43700000003</v>
      </c>
      <c r="E80" s="7">
        <f t="shared" si="4"/>
        <v>0.43700000003445894</v>
      </c>
      <c r="G80" s="6">
        <f>SUMIF('Physical - BBLS'!J:J,A80,'Physical - BBLS'!C:C)</f>
        <v>0</v>
      </c>
      <c r="H80" s="6">
        <f>SUMIF('P-3'!A:A,A80,'P-3'!B:B)</f>
        <v>0</v>
      </c>
      <c r="I80" s="7">
        <f t="shared" si="5"/>
        <v>0</v>
      </c>
      <c r="J80" s="61"/>
      <c r="K80" s="45"/>
      <c r="L80" s="45"/>
    </row>
    <row r="81" spans="1:11">
      <c r="A81" s="43" t="s">
        <v>281</v>
      </c>
      <c r="B81" s="44" t="s">
        <v>156</v>
      </c>
      <c r="C81" s="6">
        <f>SUMIF('Physical - BBLS'!J:J,A81,'Physical - BBLS'!E:E)</f>
        <v>11578</v>
      </c>
      <c r="D81" s="6">
        <f>SUMIF('S-3'!A:A,A81,'S-3'!B:B)</f>
        <v>11578.37</v>
      </c>
      <c r="E81" s="7">
        <f t="shared" si="4"/>
        <v>0.37000000000080036</v>
      </c>
      <c r="G81" s="6">
        <f>SUMIF('Physical - BBLS'!J:J,A81,'Physical - BBLS'!C:C)</f>
        <v>0</v>
      </c>
      <c r="H81" s="6">
        <f>SUMIF('P-3'!A:A,A81,'P-3'!B:B)</f>
        <v>0</v>
      </c>
      <c r="I81" s="7">
        <f t="shared" si="5"/>
        <v>0</v>
      </c>
      <c r="J81" s="61"/>
      <c r="K81" s="45"/>
    </row>
    <row r="82" spans="1:11">
      <c r="A82" s="43" t="s">
        <v>231</v>
      </c>
      <c r="B82" s="44" t="s">
        <v>232</v>
      </c>
      <c r="C82" s="6">
        <f>SUMIF('Physical - BBLS'!J:J,A82,'Physical - BBLS'!E:E)</f>
        <v>0</v>
      </c>
      <c r="D82" s="6">
        <f>SUMIF('S-3'!A:A,A82,'S-3'!B:B)</f>
        <v>0</v>
      </c>
      <c r="E82" s="7">
        <f t="shared" si="4"/>
        <v>0</v>
      </c>
      <c r="G82" s="6">
        <f>SUMIF('Physical - BBLS'!J:J,A82,'Physical - BBLS'!C:C)</f>
        <v>40762</v>
      </c>
      <c r="H82" s="6">
        <f>SUMIF('P-3'!A:A,A82,'P-3'!B:B)</f>
        <v>40761.639999999992</v>
      </c>
      <c r="I82" s="7">
        <f t="shared" si="5"/>
        <v>-0.36000000000785803</v>
      </c>
      <c r="J82" s="61"/>
      <c r="K82" s="45"/>
    </row>
    <row r="83" spans="1:11">
      <c r="A83" s="43" t="s">
        <v>272</v>
      </c>
      <c r="B83" s="44" t="s">
        <v>273</v>
      </c>
      <c r="C83" s="6">
        <f>SUMIF('Physical - BBLS'!J:J,A83,'Physical - BBLS'!E:E)</f>
        <v>111996</v>
      </c>
      <c r="D83" s="6">
        <f>SUMIF('S-3'!A:A,A83,'S-3'!B:B)</f>
        <v>111996</v>
      </c>
      <c r="E83" s="7">
        <f t="shared" si="4"/>
        <v>0</v>
      </c>
      <c r="G83" s="6">
        <f>SUMIF('Physical - BBLS'!J:J,A83,'Physical - BBLS'!C:C)</f>
        <v>0</v>
      </c>
      <c r="H83" s="6">
        <f>SUMIF('P-3'!A:A,A83,'P-3'!B:B)</f>
        <v>0</v>
      </c>
      <c r="I83" s="7">
        <f t="shared" si="5"/>
        <v>0</v>
      </c>
      <c r="J83" s="61"/>
      <c r="K83" s="45"/>
    </row>
    <row r="84" spans="1:11">
      <c r="A84" s="43" t="s">
        <v>100</v>
      </c>
      <c r="B84" s="44" t="s">
        <v>196</v>
      </c>
      <c r="C84" s="6">
        <f>SUMIF('Physical - BBLS'!J:J,A84,'Physical - BBLS'!E:E)</f>
        <v>0</v>
      </c>
      <c r="D84" s="6">
        <f>SUMIF('S-3'!A:A,A84,'S-3'!B:B)</f>
        <v>0</v>
      </c>
      <c r="E84" s="7">
        <f>+D84-C84</f>
        <v>0</v>
      </c>
      <c r="G84" s="6">
        <f>SUMIF('Physical - BBLS'!J:J,A84,'Physical - BBLS'!C:C)</f>
        <v>40809</v>
      </c>
      <c r="H84" s="6">
        <f>SUMIF('P-3'!A:A,A84,'P-3'!B:B)</f>
        <v>40808.619999999995</v>
      </c>
      <c r="I84" s="7">
        <f>+H84-G84</f>
        <v>-0.38000000000465661</v>
      </c>
      <c r="J84" s="61"/>
      <c r="K84" s="45"/>
    </row>
    <row r="85" spans="1:11">
      <c r="A85" s="43" t="s">
        <v>246</v>
      </c>
      <c r="B85" s="44" t="s">
        <v>247</v>
      </c>
      <c r="C85" s="6">
        <f>SUMIF('Physical - BBLS'!J:J,A85,'Physical - BBLS'!E:E)</f>
        <v>0</v>
      </c>
      <c r="D85" s="6">
        <f>SUMIF('S-3'!A:A,A85,'S-3'!B:B)</f>
        <v>0</v>
      </c>
      <c r="E85" s="7">
        <f t="shared" si="4"/>
        <v>0</v>
      </c>
      <c r="G85" s="6">
        <f>SUMIF('Physical - BBLS'!J:J,A85,'Physical - BBLS'!C:C)</f>
        <v>221439</v>
      </c>
      <c r="H85" s="6">
        <f>SUMIF('P-3'!A:A,A85,'P-3'!B:B)</f>
        <v>221439</v>
      </c>
      <c r="I85" s="7">
        <f t="shared" si="5"/>
        <v>0</v>
      </c>
      <c r="J85" s="61"/>
      <c r="K85" s="45"/>
    </row>
    <row r="86" spans="1:11">
      <c r="A86" s="43" t="s">
        <v>76</v>
      </c>
      <c r="B86" s="44" t="s">
        <v>197</v>
      </c>
      <c r="C86" s="6">
        <f>SUMIF('Physical - BBLS'!J:J,A86,'Physical - BBLS'!E:E)</f>
        <v>64962</v>
      </c>
      <c r="D86" s="6">
        <f>SUMIF('S-3'!A:A,A86,'S-3'!B:B)</f>
        <v>64961.987999999998</v>
      </c>
      <c r="E86" s="7">
        <f t="shared" si="4"/>
        <v>-1.2000000002444722E-2</v>
      </c>
      <c r="G86" s="6">
        <f>SUMIF('Physical - BBLS'!J:J,A86,'Physical - BBLS'!C:C)</f>
        <v>0</v>
      </c>
      <c r="H86" s="6">
        <f>SUMIF('P-3'!A:A,A86,'P-3'!B:B)</f>
        <v>0</v>
      </c>
      <c r="I86" s="7">
        <f t="shared" si="5"/>
        <v>0</v>
      </c>
      <c r="J86" s="61"/>
      <c r="K86" s="45"/>
    </row>
    <row r="87" spans="1:11">
      <c r="A87" s="43" t="s">
        <v>260</v>
      </c>
      <c r="B87" s="44" t="s">
        <v>261</v>
      </c>
      <c r="C87" s="6">
        <f>SUMIF('Physical - BBLS'!J:J,A87,'Physical - BBLS'!E:E)</f>
        <v>233157</v>
      </c>
      <c r="D87" s="6">
        <f>SUMIF('S-3'!A:A,A87,'S-3'!B:B)</f>
        <v>233156.72</v>
      </c>
      <c r="E87" s="7">
        <f t="shared" si="4"/>
        <v>-0.27999999999883585</v>
      </c>
      <c r="G87" s="6">
        <f>SUMIF('Physical - BBLS'!J:J,A87,'Physical - BBLS'!C:C)</f>
        <v>0</v>
      </c>
      <c r="H87" s="6">
        <f>SUMIF('P-3'!A:A,A87,'P-3'!B:B)</f>
        <v>0</v>
      </c>
      <c r="I87" s="7">
        <f t="shared" si="5"/>
        <v>0</v>
      </c>
      <c r="J87" s="61"/>
      <c r="K87" s="45"/>
    </row>
    <row r="88" spans="1:11">
      <c r="A88" s="43" t="s">
        <v>77</v>
      </c>
      <c r="B88" s="44" t="s">
        <v>198</v>
      </c>
      <c r="C88" s="6">
        <f>SUMIF('Physical - BBLS'!J:J,A88,'Physical - BBLS'!E:E)</f>
        <v>13607</v>
      </c>
      <c r="D88" s="6">
        <f>SUMIF('S-3'!A:A,A88,'S-3'!B:B)</f>
        <v>13607.341</v>
      </c>
      <c r="E88" s="7">
        <f t="shared" si="4"/>
        <v>0.34100000000034925</v>
      </c>
      <c r="G88" s="6">
        <f>SUMIF('Physical - BBLS'!J:J,A88,'Physical - BBLS'!C:C)</f>
        <v>0</v>
      </c>
      <c r="H88" s="6">
        <f>SUMIF('P-3'!A:A,A88,'P-3'!B:B)</f>
        <v>0</v>
      </c>
      <c r="I88" s="7">
        <f t="shared" si="5"/>
        <v>0</v>
      </c>
      <c r="J88" s="61"/>
      <c r="K88" s="45"/>
    </row>
    <row r="89" spans="1:11">
      <c r="A89" s="43" t="s">
        <v>223</v>
      </c>
      <c r="B89" s="44" t="s">
        <v>224</v>
      </c>
      <c r="C89" s="6">
        <f>SUMIF('Physical - BBLS'!J:J,A89,'Physical - BBLS'!E:E)</f>
        <v>0</v>
      </c>
      <c r="D89" s="6">
        <f>SUMIF('S-3'!A:A,A89,'S-3'!B:B)</f>
        <v>0</v>
      </c>
      <c r="E89" s="7">
        <f t="shared" si="4"/>
        <v>0</v>
      </c>
      <c r="G89" s="6">
        <f>SUMIF('Physical - BBLS'!J:J,A89,'Physical - BBLS'!C:C)</f>
        <v>240253</v>
      </c>
      <c r="H89" s="6">
        <f>SUMIF('P-3'!A:A,A89,'P-3'!B:B)</f>
        <v>240252.85599999997</v>
      </c>
      <c r="I89" s="7">
        <f t="shared" si="5"/>
        <v>-0.14400000002933666</v>
      </c>
      <c r="J89" s="61"/>
      <c r="K89" s="45"/>
    </row>
    <row r="90" spans="1:11">
      <c r="A90" s="44" t="s">
        <v>225</v>
      </c>
      <c r="B90" s="44" t="s">
        <v>226</v>
      </c>
      <c r="C90" s="6">
        <f>SUMIF('Physical - BBLS'!J:J,A90,'Physical - BBLS'!E:E)</f>
        <v>0</v>
      </c>
      <c r="D90" s="6">
        <f>SUMIF('S-3'!A:A,A90,'S-3'!B:B)</f>
        <v>0</v>
      </c>
      <c r="E90" s="7">
        <f t="shared" si="4"/>
        <v>0</v>
      </c>
      <c r="G90" s="6">
        <f>SUMIF('Physical - BBLS'!J:J,A90,'Physical - BBLS'!C:C)</f>
        <v>19390</v>
      </c>
      <c r="H90" s="6">
        <f>SUMIF('P-3'!A:A,A90,'P-3'!B:B)</f>
        <v>19390.062999999998</v>
      </c>
      <c r="I90" s="7">
        <f t="shared" si="5"/>
        <v>6.2999999998282874E-2</v>
      </c>
      <c r="J90" s="61"/>
      <c r="K90" s="45"/>
    </row>
    <row r="91" spans="1:11">
      <c r="A91" s="44" t="s">
        <v>78</v>
      </c>
      <c r="B91" s="44" t="s">
        <v>199</v>
      </c>
      <c r="C91" s="6">
        <f>SUMIF('Physical - BBLS'!J:J,A91,'Physical - BBLS'!E:E)</f>
        <v>154630</v>
      </c>
      <c r="D91" s="6">
        <f>SUMIF('S-3'!A:A,A91,'S-3'!B:B)</f>
        <v>154630</v>
      </c>
      <c r="E91" s="7">
        <f t="shared" si="4"/>
        <v>0</v>
      </c>
      <c r="G91" s="6">
        <f>SUMIF('Physical - BBLS'!J:J,A91,'Physical - BBLS'!C:C)</f>
        <v>0</v>
      </c>
      <c r="H91" s="6">
        <f>SUMIF('P-3'!A:A,A91,'P-3'!B:B)</f>
        <v>0</v>
      </c>
      <c r="I91" s="7">
        <f t="shared" si="5"/>
        <v>0</v>
      </c>
      <c r="J91" s="61"/>
      <c r="K91" s="45"/>
    </row>
    <row r="92" spans="1:11">
      <c r="A92" s="44" t="s">
        <v>79</v>
      </c>
      <c r="B92" s="44" t="s">
        <v>200</v>
      </c>
      <c r="C92" s="6">
        <f>SUMIF('Physical - BBLS'!J:J,A92,'Physical - BBLS'!E:E)</f>
        <v>204656</v>
      </c>
      <c r="D92" s="6">
        <f>SUMIF('S-3'!A:A,A92,'S-3'!B:B)</f>
        <v>204656</v>
      </c>
      <c r="E92" s="7">
        <f t="shared" si="4"/>
        <v>0</v>
      </c>
      <c r="G92" s="6">
        <f>SUMIF('Physical - BBLS'!J:J,A92,'Physical - BBLS'!C:C)</f>
        <v>0</v>
      </c>
      <c r="H92" s="6">
        <f>SUMIF('P-3'!A:A,A92,'P-3'!B:B)</f>
        <v>0</v>
      </c>
      <c r="I92" s="7">
        <f t="shared" si="5"/>
        <v>0</v>
      </c>
      <c r="J92" s="61"/>
    </row>
    <row r="93" spans="1:11">
      <c r="A93" s="44" t="s">
        <v>211</v>
      </c>
      <c r="B93" s="44" t="s">
        <v>212</v>
      </c>
      <c r="C93" s="6">
        <f>SUMIF('Physical - BBLS'!J:J,A93,'Physical - BBLS'!E:E)</f>
        <v>167222</v>
      </c>
      <c r="D93" s="6">
        <f>SUMIF('S-3'!A:A,A93,'S-3'!B:B)</f>
        <v>167221.601</v>
      </c>
      <c r="E93" s="7">
        <f t="shared" si="4"/>
        <v>-0.39900000000488944</v>
      </c>
      <c r="G93" s="6">
        <f>SUMIF('Physical - BBLS'!J:J,A93,'Physical - BBLS'!C:C)</f>
        <v>0</v>
      </c>
      <c r="H93" s="6">
        <f>SUMIF('P-3'!A:A,A93,'P-3'!B:B)</f>
        <v>0</v>
      </c>
      <c r="I93" s="7">
        <f t="shared" si="5"/>
        <v>0</v>
      </c>
    </row>
    <row r="94" spans="1:11">
      <c r="A94" s="44"/>
      <c r="B94" s="44"/>
      <c r="C94" s="6">
        <f>SUMIF('Physical - BBLS'!J:J,A94,'Physical - BBLS'!E:E)</f>
        <v>0</v>
      </c>
      <c r="D94" s="6">
        <f>SUMIF('S-3'!A:A,A94,'S-3'!B:B)</f>
        <v>0</v>
      </c>
      <c r="E94" s="7">
        <f t="shared" si="4"/>
        <v>0</v>
      </c>
      <c r="G94" s="6">
        <f>SUMIF('Physical - BBLS'!J:J,A94,'Physical - BBLS'!C:C)</f>
        <v>0</v>
      </c>
      <c r="H94" s="6">
        <f>SUMIF('P-3'!A:A,A94,'P-3'!B:B)</f>
        <v>0</v>
      </c>
      <c r="I94" s="7">
        <f t="shared" si="5"/>
        <v>0</v>
      </c>
    </row>
    <row r="95" spans="1:11">
      <c r="C95" s="6">
        <f>SUMIF('Physical - BBLS'!J:J,A95,'Physical - BBLS'!E:E)</f>
        <v>0</v>
      </c>
      <c r="D95" s="6">
        <f>SUMIF('S-3'!A:A,A95,'S-3'!B:B)</f>
        <v>0</v>
      </c>
      <c r="E95" s="7">
        <f t="shared" si="4"/>
        <v>0</v>
      </c>
      <c r="G95" s="6">
        <f>SUMIF('Physical - BBLS'!J:J,A95,'Physical - BBLS'!C:C)</f>
        <v>0</v>
      </c>
      <c r="H95" s="6">
        <f>SUMIF('P-3'!A:A,A95,'P-3'!B:B)</f>
        <v>0</v>
      </c>
      <c r="I95" s="7">
        <f t="shared" si="5"/>
        <v>0</v>
      </c>
    </row>
    <row r="96" spans="1:11">
      <c r="B96" s="9"/>
      <c r="C96" s="6">
        <f>SUMIF('Physical - BBLS'!J:J,A96,'Physical - BBLS'!E:E)</f>
        <v>0</v>
      </c>
      <c r="D96" s="6">
        <f>SUMIF('S-3'!A:A,A96,'S-3'!B:B)</f>
        <v>0</v>
      </c>
      <c r="E96" s="7">
        <f t="shared" si="4"/>
        <v>0</v>
      </c>
      <c r="G96" s="6">
        <f>SUMIF('Physical - BBLS'!J:J,A96,'Physical - BBLS'!C:C)</f>
        <v>0</v>
      </c>
      <c r="H96" s="6">
        <f>SUMIF('P-3'!A:A,A96,'P-3'!B:B)</f>
        <v>0</v>
      </c>
      <c r="I96" s="7">
        <f t="shared" si="5"/>
        <v>0</v>
      </c>
    </row>
    <row r="97" spans="1:255">
      <c r="C97" s="6">
        <f>SUMIF('Physical - BBLS'!J:J,A97,'Physical - BBLS'!E:E)</f>
        <v>0</v>
      </c>
      <c r="D97" s="6">
        <f>SUMIF('S-3'!A:A,A97,'S-3'!B:B)</f>
        <v>0</v>
      </c>
      <c r="E97" s="7">
        <f t="shared" si="4"/>
        <v>0</v>
      </c>
      <c r="G97" s="6">
        <f>SUMIF('Physical - BBLS'!J:J,A97,'Physical - BBLS'!C:C)</f>
        <v>0</v>
      </c>
      <c r="H97" s="6">
        <f>SUMIF('P-3'!A:A,A97,'P-3'!B:B)</f>
        <v>0</v>
      </c>
      <c r="I97" s="7">
        <f t="shared" si="5"/>
        <v>0</v>
      </c>
    </row>
    <row r="98" spans="1:255">
      <c r="B98" s="9"/>
      <c r="C98" s="6">
        <f>SUMIF('Physical - BBLS'!J:J,A98,'Physical - BBLS'!E:E)</f>
        <v>0</v>
      </c>
      <c r="D98" s="6">
        <f>SUMIF('S-3'!A:A,A98,'S-3'!B:B)</f>
        <v>0</v>
      </c>
      <c r="E98" s="7">
        <f t="shared" si="4"/>
        <v>0</v>
      </c>
      <c r="G98" s="6">
        <f>SUMIF('Physical - BBLS'!J:J,A98,'Physical - BBLS'!C:C)</f>
        <v>0</v>
      </c>
      <c r="H98" s="6">
        <f>SUMIF('P-3'!A:A,A98,'P-3'!B:B)</f>
        <v>0</v>
      </c>
      <c r="I98" s="7">
        <f t="shared" si="5"/>
        <v>0</v>
      </c>
    </row>
    <row r="99" spans="1:255">
      <c r="C99" s="6">
        <f>SUMIF('Physical - BBLS'!J:J,A99,'Physical - BBLS'!E:E)</f>
        <v>0</v>
      </c>
      <c r="D99" s="6">
        <f>SUMIF('S-3'!A:A,A99,'S-3'!B:B)</f>
        <v>0</v>
      </c>
      <c r="E99" s="7">
        <f t="shared" ref="E99:E108" si="6">+D99-C99</f>
        <v>0</v>
      </c>
      <c r="G99" s="6">
        <f>SUMIF('Physical - BBLS'!J:J,A99,'Physical - BBLS'!C:C)</f>
        <v>0</v>
      </c>
      <c r="H99" s="6">
        <f>SUMIF('P-3'!A:A,A99,'P-3'!B:B)</f>
        <v>0</v>
      </c>
      <c r="I99" s="7">
        <f t="shared" ref="I99:I108" si="7">+H99-G99</f>
        <v>0</v>
      </c>
    </row>
    <row r="100" spans="1:255">
      <c r="C100" s="6">
        <f>SUMIF('Physical - BBLS'!J:J,A100,'Physical - BBLS'!E:E)</f>
        <v>0</v>
      </c>
      <c r="D100" s="6">
        <f>SUMIF('S-3'!A:A,A100,'S-3'!B:B)</f>
        <v>0</v>
      </c>
      <c r="E100" s="7">
        <f t="shared" si="6"/>
        <v>0</v>
      </c>
      <c r="G100" s="6">
        <f>SUMIF('Physical - BBLS'!J:J,A100,'Physical - BBLS'!C:C)</f>
        <v>0</v>
      </c>
      <c r="H100" s="6">
        <f>SUMIF('P-3'!A:A,A100,'P-3'!B:B)</f>
        <v>0</v>
      </c>
      <c r="I100" s="7">
        <f t="shared" si="7"/>
        <v>0</v>
      </c>
    </row>
    <row r="101" spans="1:255">
      <c r="C101" s="6">
        <f>SUMIF('Physical - BBLS'!J:J,A101,'Physical - BBLS'!E:E)</f>
        <v>0</v>
      </c>
      <c r="D101" s="6">
        <f>SUMIF('S-3'!A:A,A101,'S-3'!B:B)</f>
        <v>0</v>
      </c>
      <c r="E101" s="7">
        <f t="shared" si="6"/>
        <v>0</v>
      </c>
      <c r="G101" s="6">
        <f>SUMIF('Physical - BBLS'!J:J,A101,'Physical - BBLS'!C:C)</f>
        <v>0</v>
      </c>
      <c r="H101" s="6">
        <f>SUMIF('P-3'!A:A,A101,'P-3'!B:B)</f>
        <v>0</v>
      </c>
      <c r="I101" s="7">
        <f t="shared" si="7"/>
        <v>0</v>
      </c>
    </row>
    <row r="102" spans="1:255">
      <c r="C102" s="6">
        <f>SUMIF('Physical - BBLS'!J:J,A102,'Physical - BBLS'!E:E)</f>
        <v>0</v>
      </c>
      <c r="D102" s="6">
        <f>SUMIF('S-3'!A:A,A102,'S-3'!B:B)</f>
        <v>0</v>
      </c>
      <c r="E102" s="7">
        <f t="shared" si="6"/>
        <v>0</v>
      </c>
      <c r="G102" s="6">
        <f>SUMIF('Physical - BBLS'!J:J,A102,'Physical - BBLS'!C:C)</f>
        <v>0</v>
      </c>
      <c r="H102" s="6">
        <f>SUMIF('P-3'!A:A,A102,'P-3'!B:B)</f>
        <v>0</v>
      </c>
      <c r="I102" s="7">
        <f t="shared" si="7"/>
        <v>0</v>
      </c>
    </row>
    <row r="103" spans="1:255">
      <c r="C103" s="6">
        <f>SUMIF('Physical - BBLS'!J:J,A103,'Physical - BBLS'!E:E)</f>
        <v>0</v>
      </c>
      <c r="D103" s="6">
        <f>SUMIF('S-3'!A:A,A103,'S-3'!B:B)</f>
        <v>0</v>
      </c>
      <c r="E103" s="7">
        <f t="shared" si="6"/>
        <v>0</v>
      </c>
      <c r="G103" s="6">
        <f>SUMIF('Physical - BBLS'!J:J,A103,'Physical - BBLS'!C:C)</f>
        <v>0</v>
      </c>
      <c r="H103" s="6">
        <f>SUMIF('P-3'!A:A,A103,'P-3'!B:B)</f>
        <v>0</v>
      </c>
      <c r="I103" s="7">
        <f t="shared" si="7"/>
        <v>0</v>
      </c>
    </row>
    <row r="104" spans="1:255">
      <c r="C104" s="6">
        <f>SUMIF('Physical - BBLS'!J:J,A104,'Physical - BBLS'!E:E)</f>
        <v>0</v>
      </c>
      <c r="D104" s="6">
        <f>SUMIF('S-3'!A:A,A104,'S-3'!B:B)</f>
        <v>0</v>
      </c>
      <c r="E104" s="7">
        <f t="shared" si="6"/>
        <v>0</v>
      </c>
      <c r="G104" s="6">
        <f>SUMIF('Physical - BBLS'!J:J,A104,'Physical - BBLS'!C:C)</f>
        <v>0</v>
      </c>
      <c r="H104" s="6">
        <f>SUMIF('P-3'!A:A,A104,'P-3'!B:B)</f>
        <v>0</v>
      </c>
      <c r="I104" s="7">
        <f t="shared" si="7"/>
        <v>0</v>
      </c>
    </row>
    <row r="105" spans="1:255">
      <c r="C105" s="6">
        <f>SUMIF('Physical - BBLS'!J:J,A105,'Physical - BBLS'!E:E)</f>
        <v>0</v>
      </c>
      <c r="D105" s="6">
        <f>SUMIF('S-3'!A:A,A105,'S-3'!B:B)</f>
        <v>0</v>
      </c>
      <c r="E105" s="7">
        <f t="shared" si="6"/>
        <v>0</v>
      </c>
      <c r="G105" s="6">
        <f>SUMIF('Physical - BBLS'!J:J,A105,'Physical - BBLS'!C:C)</f>
        <v>0</v>
      </c>
      <c r="H105" s="6">
        <f>SUMIF('P-3'!A:A,A105,'P-3'!B:B)</f>
        <v>0</v>
      </c>
      <c r="I105" s="7">
        <f t="shared" si="7"/>
        <v>0</v>
      </c>
    </row>
    <row r="106" spans="1:255">
      <c r="C106" s="6">
        <f>SUMIF('Physical - BBLS'!J:J,A106,'Physical - BBLS'!E:E)</f>
        <v>0</v>
      </c>
      <c r="D106" s="6">
        <f>SUMIF('S-3'!A:A,A106,'S-3'!B:B)</f>
        <v>0</v>
      </c>
      <c r="E106" s="7">
        <f t="shared" si="6"/>
        <v>0</v>
      </c>
      <c r="G106" s="6">
        <f>SUMIF('Physical - BBLS'!J:J,A106,'Physical - BBLS'!C:C)</f>
        <v>0</v>
      </c>
      <c r="H106" s="6">
        <f>SUMIF('P-3'!A:A,A106,'P-3'!B:B)</f>
        <v>0</v>
      </c>
      <c r="I106" s="7">
        <f t="shared" si="7"/>
        <v>0</v>
      </c>
    </row>
    <row r="107" spans="1:255">
      <c r="C107" s="6">
        <f>SUMIF('Physical - BBLS'!J:J,A107,'Physical - BBLS'!E:E)</f>
        <v>0</v>
      </c>
      <c r="D107" s="6">
        <f>SUMIF('S-3'!A:A,A107,'S-3'!B:B)</f>
        <v>0</v>
      </c>
      <c r="E107" s="7">
        <f t="shared" si="6"/>
        <v>0</v>
      </c>
      <c r="G107" s="6">
        <f>SUMIF('Physical - BBLS'!J:J,A107,'Physical - BBLS'!C:C)</f>
        <v>0</v>
      </c>
      <c r="H107" s="6">
        <f>SUMIF('P-3'!A:A,A107,'P-3'!B:B)</f>
        <v>0</v>
      </c>
      <c r="I107" s="7">
        <f t="shared" si="7"/>
        <v>0</v>
      </c>
    </row>
    <row r="108" spans="1:255">
      <c r="C108" s="6">
        <f>SUMIF('Physical - BBLS'!J:J,A108,'Physical - BBLS'!E:E)</f>
        <v>0</v>
      </c>
      <c r="D108" s="6">
        <f>SUMIF('S-3'!A:A,A108,'S-3'!B:B)</f>
        <v>0</v>
      </c>
      <c r="E108" s="7">
        <f t="shared" si="6"/>
        <v>0</v>
      </c>
      <c r="G108" s="6">
        <f>SUMIF('Physical - BBLS'!J:J,A108,'Physical - BBLS'!C:C)</f>
        <v>0</v>
      </c>
      <c r="H108" s="6">
        <f>SUMIF('P-3'!A:A,A108,'P-3'!B:B)</f>
        <v>0</v>
      </c>
      <c r="I108" s="7">
        <f t="shared" si="7"/>
        <v>0</v>
      </c>
    </row>
    <row r="109" spans="1:255">
      <c r="A109" s="52" t="s">
        <v>88</v>
      </c>
      <c r="B109" s="53"/>
      <c r="C109" s="51">
        <f>SUM(C2:C108)</f>
        <v>12632952</v>
      </c>
      <c r="D109" s="51">
        <f>SUM(D2:D108)</f>
        <v>12570959.191103695</v>
      </c>
      <c r="E109" s="28">
        <f>+C109-D109</f>
        <v>61992.80889630504</v>
      </c>
      <c r="F109" s="28">
        <f>SUM(F2:F98)</f>
        <v>0</v>
      </c>
      <c r="G109" s="51">
        <f>SUM(G2:G108)</f>
        <v>11350012</v>
      </c>
      <c r="H109" s="51">
        <f>SUM(H2:H108)</f>
        <v>7899742.6160476189</v>
      </c>
      <c r="I109" s="28">
        <f>+G109-H109</f>
        <v>3450269.3839523811</v>
      </c>
      <c r="K109" s="29"/>
      <c r="IU109" s="31">
        <f>SUM(I109,E109)</f>
        <v>3512262.1928486861</v>
      </c>
    </row>
    <row r="110" spans="1:255">
      <c r="A110" s="52"/>
      <c r="B110" s="53" t="s">
        <v>89</v>
      </c>
      <c r="C110" s="51">
        <f>'Physical - BBLS'!E102</f>
        <v>12632952</v>
      </c>
      <c r="D110" s="51">
        <f>'S-3'!B53</f>
        <v>12570959.191103695</v>
      </c>
      <c r="E110" s="28">
        <f>+C110-D110</f>
        <v>61992.80889630504</v>
      </c>
      <c r="F110" s="30"/>
      <c r="G110" s="51">
        <f>'Physical - BBLS'!C102</f>
        <v>11455230</v>
      </c>
      <c r="H110" s="51">
        <f>'P-3'!B47</f>
        <v>8004960.616047618</v>
      </c>
      <c r="I110" s="28">
        <f>+G110-H110</f>
        <v>3450269.383952382</v>
      </c>
      <c r="K110" s="29"/>
      <c r="IU110" s="31">
        <f>SUM(C110:IT110)</f>
        <v>48176364</v>
      </c>
    </row>
    <row r="111" spans="1:255">
      <c r="A111" s="49"/>
      <c r="B111" s="50" t="s">
        <v>90</v>
      </c>
      <c r="C111" s="28">
        <f>+C109-C110</f>
        <v>0</v>
      </c>
      <c r="D111" s="28">
        <f>+D109-D110</f>
        <v>0</v>
      </c>
      <c r="E111" s="28">
        <f>+C111-D111</f>
        <v>0</v>
      </c>
      <c r="F111" s="28"/>
      <c r="G111" s="28">
        <f>+G109-G110</f>
        <v>-105218</v>
      </c>
      <c r="H111" s="28">
        <f>+H109-H110</f>
        <v>-105217.99999999907</v>
      </c>
      <c r="I111" s="28">
        <f>+G111-H111</f>
        <v>-9.3132257461547852E-10</v>
      </c>
      <c r="IU111" s="31">
        <f>SUM(C111:IT111)</f>
        <v>-210436</v>
      </c>
    </row>
  </sheetData>
  <mergeCells count="2">
    <mergeCell ref="C1:E1"/>
    <mergeCell ref="G1:I1"/>
  </mergeCells>
  <phoneticPr fontId="7" type="noConversion"/>
  <pageMargins left="0.25" right="0.25" top="0.5" bottom="1" header="0.5" footer="0.5"/>
  <pageSetup scale="71" fitToHeight="0" orientation="portrait" r:id="rId1"/>
  <headerFooter alignWithMargins="0">
    <oddFooter>&amp;L&amp;F&amp;CPage &amp;P of &amp;N&amp;R&amp;A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95"/>
  <sheetViews>
    <sheetView tabSelected="1" workbookViewId="0">
      <selection activeCell="A22" sqref="A22"/>
    </sheetView>
  </sheetViews>
  <sheetFormatPr defaultRowHeight="12.75"/>
  <sheetData>
    <row r="1" spans="1:10">
      <c r="A1">
        <v>110</v>
      </c>
      <c r="B1">
        <v>2715.5</v>
      </c>
      <c r="C1">
        <v>0</v>
      </c>
      <c r="D1">
        <v>-1894</v>
      </c>
      <c r="E1">
        <v>0</v>
      </c>
      <c r="F1">
        <v>0</v>
      </c>
      <c r="G1">
        <v>0</v>
      </c>
      <c r="H1">
        <v>822</v>
      </c>
      <c r="I1" t="s">
        <v>229</v>
      </c>
      <c r="J1">
        <v>0</v>
      </c>
    </row>
    <row r="2" spans="1:10">
      <c r="A2">
        <v>130</v>
      </c>
      <c r="B2">
        <v>1030.5</v>
      </c>
      <c r="C2">
        <v>0</v>
      </c>
      <c r="D2">
        <v>-0.5</v>
      </c>
      <c r="E2">
        <v>0</v>
      </c>
      <c r="F2">
        <v>0</v>
      </c>
      <c r="G2">
        <v>0</v>
      </c>
      <c r="H2">
        <v>1030</v>
      </c>
      <c r="I2" t="s">
        <v>21</v>
      </c>
      <c r="J2">
        <v>0</v>
      </c>
    </row>
    <row r="3" spans="1:10">
      <c r="A3">
        <v>204</v>
      </c>
      <c r="B3">
        <v>0</v>
      </c>
      <c r="C3">
        <v>162537</v>
      </c>
      <c r="D3">
        <v>-162537</v>
      </c>
      <c r="E3">
        <v>0</v>
      </c>
      <c r="F3">
        <v>0</v>
      </c>
      <c r="G3">
        <v>0</v>
      </c>
      <c r="H3">
        <v>0</v>
      </c>
      <c r="I3" t="s">
        <v>289</v>
      </c>
      <c r="J3">
        <v>0</v>
      </c>
    </row>
    <row r="4" spans="1:10">
      <c r="A4">
        <v>206</v>
      </c>
      <c r="B4">
        <v>0</v>
      </c>
      <c r="C4">
        <v>99646</v>
      </c>
      <c r="D4">
        <v>-86876</v>
      </c>
      <c r="E4">
        <v>0</v>
      </c>
      <c r="F4">
        <v>0</v>
      </c>
      <c r="G4">
        <v>0</v>
      </c>
      <c r="H4">
        <v>12769.5</v>
      </c>
      <c r="I4" t="s">
        <v>291</v>
      </c>
      <c r="J4">
        <v>0</v>
      </c>
    </row>
    <row r="5" spans="1:10">
      <c r="A5">
        <v>215</v>
      </c>
      <c r="B5">
        <v>57920</v>
      </c>
      <c r="C5">
        <v>59828</v>
      </c>
      <c r="D5">
        <v>-48625.5</v>
      </c>
      <c r="E5">
        <v>0</v>
      </c>
      <c r="F5">
        <v>0</v>
      </c>
      <c r="G5">
        <v>0</v>
      </c>
      <c r="H5">
        <v>69122.5</v>
      </c>
      <c r="I5" t="s">
        <v>278</v>
      </c>
      <c r="J5">
        <v>0</v>
      </c>
    </row>
    <row r="6" spans="1:10">
      <c r="A6">
        <v>252</v>
      </c>
      <c r="B6">
        <v>89130.5</v>
      </c>
      <c r="C6">
        <v>-77</v>
      </c>
      <c r="D6">
        <v>-89053.5</v>
      </c>
      <c r="E6">
        <v>0</v>
      </c>
      <c r="F6">
        <v>0</v>
      </c>
      <c r="G6">
        <v>0</v>
      </c>
      <c r="H6">
        <v>0</v>
      </c>
      <c r="I6" t="s">
        <v>280</v>
      </c>
      <c r="J6">
        <v>0</v>
      </c>
    </row>
    <row r="7" spans="1:10">
      <c r="A7">
        <v>280</v>
      </c>
      <c r="B7">
        <v>765766.5</v>
      </c>
      <c r="C7">
        <v>3454521.5</v>
      </c>
      <c r="D7">
        <v>-3441366</v>
      </c>
      <c r="E7">
        <v>0</v>
      </c>
      <c r="F7">
        <v>0</v>
      </c>
      <c r="G7">
        <v>1578</v>
      </c>
      <c r="H7">
        <v>777344</v>
      </c>
      <c r="I7" t="s">
        <v>154</v>
      </c>
      <c r="J7">
        <v>0</v>
      </c>
    </row>
    <row r="8" spans="1:10">
      <c r="A8">
        <v>306</v>
      </c>
      <c r="B8">
        <v>7497</v>
      </c>
      <c r="C8">
        <v>0</v>
      </c>
      <c r="D8">
        <v>66250.5</v>
      </c>
      <c r="E8">
        <v>49818.5</v>
      </c>
      <c r="F8">
        <v>0</v>
      </c>
      <c r="G8">
        <v>128</v>
      </c>
      <c r="H8">
        <v>23800.5</v>
      </c>
      <c r="I8" t="s">
        <v>155</v>
      </c>
      <c r="J8">
        <v>0</v>
      </c>
    </row>
    <row r="9" spans="1:10">
      <c r="A9">
        <v>319</v>
      </c>
      <c r="B9">
        <v>350</v>
      </c>
      <c r="C9">
        <v>0</v>
      </c>
      <c r="D9">
        <v>0</v>
      </c>
      <c r="E9">
        <v>0</v>
      </c>
      <c r="F9">
        <v>0</v>
      </c>
      <c r="G9">
        <v>0</v>
      </c>
      <c r="H9">
        <v>350</v>
      </c>
      <c r="I9" t="s">
        <v>25</v>
      </c>
      <c r="J9">
        <v>0</v>
      </c>
    </row>
    <row r="10" spans="1:10">
      <c r="A10">
        <v>351</v>
      </c>
      <c r="B10">
        <v>28670</v>
      </c>
      <c r="C10">
        <v>87500</v>
      </c>
      <c r="D10">
        <v>584016.5</v>
      </c>
      <c r="E10">
        <v>564150</v>
      </c>
      <c r="F10">
        <v>0</v>
      </c>
      <c r="G10">
        <v>955</v>
      </c>
      <c r="H10">
        <v>135081</v>
      </c>
      <c r="I10" t="s">
        <v>27</v>
      </c>
      <c r="J10">
        <v>0</v>
      </c>
    </row>
    <row r="11" spans="1:10">
      <c r="A11">
        <v>402</v>
      </c>
      <c r="B11">
        <v>38.5</v>
      </c>
      <c r="C11">
        <v>0</v>
      </c>
      <c r="D11">
        <v>0</v>
      </c>
      <c r="E11">
        <v>0</v>
      </c>
      <c r="F11">
        <v>0</v>
      </c>
      <c r="G11">
        <v>0</v>
      </c>
      <c r="H11">
        <v>38.5</v>
      </c>
      <c r="I11" t="s">
        <v>29</v>
      </c>
      <c r="J11">
        <v>0</v>
      </c>
    </row>
    <row r="12" spans="1:10">
      <c r="A12">
        <v>410</v>
      </c>
      <c r="B12">
        <v>0</v>
      </c>
      <c r="C12">
        <v>129281</v>
      </c>
      <c r="D12">
        <v>-77591</v>
      </c>
      <c r="E12">
        <v>51690</v>
      </c>
      <c r="F12">
        <v>0</v>
      </c>
      <c r="G12">
        <v>0</v>
      </c>
      <c r="H12">
        <v>0</v>
      </c>
      <c r="I12" t="s">
        <v>293</v>
      </c>
      <c r="J12">
        <v>0</v>
      </c>
    </row>
    <row r="13" spans="1:10">
      <c r="A13">
        <v>429</v>
      </c>
      <c r="B13">
        <v>0</v>
      </c>
      <c r="C13">
        <v>0</v>
      </c>
      <c r="D13">
        <v>19810.5</v>
      </c>
      <c r="E13">
        <v>19810.5</v>
      </c>
      <c r="F13">
        <v>0</v>
      </c>
      <c r="G13">
        <v>0</v>
      </c>
      <c r="H13">
        <v>0</v>
      </c>
      <c r="I13" t="s">
        <v>156</v>
      </c>
      <c r="J13">
        <v>0</v>
      </c>
    </row>
    <row r="14" spans="1:10">
      <c r="A14">
        <v>646</v>
      </c>
      <c r="B14">
        <v>0</v>
      </c>
      <c r="C14">
        <v>0</v>
      </c>
      <c r="D14">
        <v>198676</v>
      </c>
      <c r="E14">
        <v>147684</v>
      </c>
      <c r="F14">
        <v>0</v>
      </c>
      <c r="G14">
        <v>115</v>
      </c>
      <c r="H14">
        <v>50877</v>
      </c>
      <c r="I14" t="s">
        <v>250</v>
      </c>
      <c r="J14">
        <v>0</v>
      </c>
    </row>
    <row r="15" spans="1:10">
      <c r="A15">
        <v>804</v>
      </c>
      <c r="B15">
        <v>19682</v>
      </c>
      <c r="C15">
        <v>0</v>
      </c>
      <c r="D15">
        <v>792</v>
      </c>
      <c r="E15">
        <v>0</v>
      </c>
      <c r="F15">
        <v>0</v>
      </c>
      <c r="G15">
        <v>0</v>
      </c>
      <c r="H15">
        <v>20474</v>
      </c>
      <c r="I15" t="s">
        <v>157</v>
      </c>
      <c r="J15">
        <v>0</v>
      </c>
    </row>
    <row r="16" spans="1:10">
      <c r="A16">
        <v>863</v>
      </c>
      <c r="B16">
        <v>0</v>
      </c>
      <c r="C16">
        <v>39772</v>
      </c>
      <c r="D16">
        <v>-39772</v>
      </c>
      <c r="E16">
        <v>0</v>
      </c>
      <c r="F16">
        <v>0</v>
      </c>
      <c r="G16">
        <v>0</v>
      </c>
      <c r="H16">
        <v>0</v>
      </c>
      <c r="I16" t="s">
        <v>33</v>
      </c>
      <c r="J16">
        <v>0</v>
      </c>
    </row>
    <row r="17" spans="1:10">
      <c r="A17">
        <v>866</v>
      </c>
      <c r="B17">
        <v>725913.5</v>
      </c>
      <c r="C17">
        <v>0</v>
      </c>
      <c r="D17">
        <v>377993.5</v>
      </c>
      <c r="E17">
        <v>678322.5</v>
      </c>
      <c r="F17">
        <v>0</v>
      </c>
      <c r="G17">
        <v>11339.5</v>
      </c>
      <c r="H17">
        <v>414245</v>
      </c>
      <c r="I17" t="s">
        <v>158</v>
      </c>
      <c r="J17">
        <v>0</v>
      </c>
    </row>
    <row r="18" spans="1:10">
      <c r="A18">
        <v>896</v>
      </c>
      <c r="B18">
        <v>3089</v>
      </c>
      <c r="C18">
        <v>0</v>
      </c>
      <c r="D18">
        <v>4330</v>
      </c>
      <c r="E18">
        <v>0</v>
      </c>
      <c r="F18">
        <v>0</v>
      </c>
      <c r="G18">
        <v>0</v>
      </c>
      <c r="H18">
        <v>7419</v>
      </c>
      <c r="I18" t="s">
        <v>36</v>
      </c>
      <c r="J18">
        <v>0</v>
      </c>
    </row>
    <row r="19" spans="1:10">
      <c r="A19">
        <v>918</v>
      </c>
      <c r="B19">
        <v>23304.5</v>
      </c>
      <c r="C19">
        <v>0</v>
      </c>
      <c r="D19">
        <v>15826.5</v>
      </c>
      <c r="E19">
        <v>0</v>
      </c>
      <c r="F19">
        <v>0</v>
      </c>
      <c r="G19">
        <v>0</v>
      </c>
      <c r="H19">
        <v>39131</v>
      </c>
      <c r="I19" t="s">
        <v>159</v>
      </c>
      <c r="J19">
        <v>0</v>
      </c>
    </row>
    <row r="20" spans="1:10">
      <c r="A20">
        <v>1037</v>
      </c>
      <c r="B20">
        <v>0</v>
      </c>
      <c r="C20">
        <v>0</v>
      </c>
      <c r="D20">
        <v>38690</v>
      </c>
      <c r="E20">
        <v>0</v>
      </c>
      <c r="F20">
        <v>0</v>
      </c>
      <c r="G20">
        <v>0</v>
      </c>
      <c r="H20">
        <v>0</v>
      </c>
      <c r="I20" t="s">
        <v>160</v>
      </c>
      <c r="J20">
        <v>0</v>
      </c>
    </row>
    <row r="21" spans="1:10">
      <c r="A21">
        <v>1046</v>
      </c>
      <c r="B21">
        <v>22714.5</v>
      </c>
      <c r="C21">
        <v>0</v>
      </c>
      <c r="D21">
        <v>42098</v>
      </c>
      <c r="E21">
        <v>35599</v>
      </c>
      <c r="F21">
        <v>0</v>
      </c>
      <c r="G21">
        <v>0</v>
      </c>
      <c r="H21">
        <v>29213.5</v>
      </c>
      <c r="I21" t="s">
        <v>161</v>
      </c>
      <c r="J21">
        <v>0</v>
      </c>
    </row>
    <row r="22" spans="1:10">
      <c r="A22">
        <v>1048</v>
      </c>
      <c r="B22">
        <v>0</v>
      </c>
      <c r="C22">
        <v>0</v>
      </c>
      <c r="D22">
        <v>30999.5</v>
      </c>
      <c r="E22">
        <v>30999.5</v>
      </c>
      <c r="F22">
        <v>0</v>
      </c>
      <c r="G22">
        <v>0</v>
      </c>
      <c r="H22">
        <v>0</v>
      </c>
      <c r="I22" t="s">
        <v>207</v>
      </c>
      <c r="J22">
        <v>0</v>
      </c>
    </row>
    <row r="23" spans="1:10">
      <c r="A23">
        <v>3300</v>
      </c>
      <c r="B23">
        <v>465</v>
      </c>
      <c r="C23">
        <v>0</v>
      </c>
      <c r="D23">
        <v>33</v>
      </c>
      <c r="E23">
        <v>0</v>
      </c>
      <c r="F23">
        <v>0</v>
      </c>
      <c r="G23">
        <v>0</v>
      </c>
      <c r="H23">
        <v>498.5</v>
      </c>
      <c r="I23" t="s">
        <v>162</v>
      </c>
      <c r="J23">
        <v>0</v>
      </c>
    </row>
    <row r="24" spans="1:10">
      <c r="A24">
        <v>6819</v>
      </c>
      <c r="B24">
        <v>6172</v>
      </c>
      <c r="C24">
        <v>0</v>
      </c>
      <c r="D24">
        <v>12.5</v>
      </c>
      <c r="E24">
        <v>0</v>
      </c>
      <c r="F24">
        <v>0</v>
      </c>
      <c r="G24">
        <v>0</v>
      </c>
      <c r="H24">
        <v>6184.5</v>
      </c>
      <c r="I24" t="s">
        <v>163</v>
      </c>
      <c r="J24">
        <v>0</v>
      </c>
    </row>
    <row r="25" spans="1:10">
      <c r="A25">
        <v>8021</v>
      </c>
      <c r="B25">
        <v>21565</v>
      </c>
      <c r="C25">
        <v>0</v>
      </c>
      <c r="D25">
        <v>-239.5</v>
      </c>
      <c r="E25">
        <v>0</v>
      </c>
      <c r="F25">
        <v>0</v>
      </c>
      <c r="G25">
        <v>0</v>
      </c>
      <c r="H25">
        <v>21326</v>
      </c>
      <c r="I25" t="s">
        <v>164</v>
      </c>
      <c r="J25">
        <v>0</v>
      </c>
    </row>
    <row r="26" spans="1:10">
      <c r="A26">
        <v>8030</v>
      </c>
      <c r="B26">
        <v>34580</v>
      </c>
      <c r="C26">
        <v>0</v>
      </c>
      <c r="D26">
        <v>-15211</v>
      </c>
      <c r="E26">
        <v>0</v>
      </c>
      <c r="F26">
        <v>0</v>
      </c>
      <c r="G26">
        <v>0</v>
      </c>
      <c r="H26">
        <v>19369</v>
      </c>
      <c r="I26" t="s">
        <v>165</v>
      </c>
      <c r="J26">
        <v>0</v>
      </c>
    </row>
    <row r="27" spans="1:10">
      <c r="A27">
        <v>8048</v>
      </c>
      <c r="B27">
        <v>0</v>
      </c>
      <c r="C27">
        <v>0</v>
      </c>
      <c r="D27">
        <v>26504</v>
      </c>
      <c r="E27">
        <v>26504</v>
      </c>
      <c r="F27">
        <v>0</v>
      </c>
      <c r="G27">
        <v>0</v>
      </c>
      <c r="H27">
        <v>0</v>
      </c>
      <c r="I27" t="s">
        <v>238</v>
      </c>
      <c r="J27">
        <v>0</v>
      </c>
    </row>
    <row r="28" spans="1:10">
      <c r="A28">
        <v>8060</v>
      </c>
      <c r="B28">
        <v>42997</v>
      </c>
      <c r="C28">
        <v>0</v>
      </c>
      <c r="D28">
        <v>17657</v>
      </c>
      <c r="E28">
        <v>0</v>
      </c>
      <c r="F28">
        <v>0</v>
      </c>
      <c r="G28">
        <v>0</v>
      </c>
      <c r="H28">
        <v>60654</v>
      </c>
      <c r="I28" t="s">
        <v>166</v>
      </c>
      <c r="J28">
        <v>0</v>
      </c>
    </row>
    <row r="29" spans="1:10">
      <c r="A29">
        <v>8088</v>
      </c>
      <c r="B29">
        <v>216</v>
      </c>
      <c r="C29">
        <v>0</v>
      </c>
      <c r="D29">
        <v>0</v>
      </c>
      <c r="E29">
        <v>0</v>
      </c>
      <c r="F29">
        <v>0</v>
      </c>
      <c r="G29">
        <v>0</v>
      </c>
      <c r="H29">
        <v>216</v>
      </c>
      <c r="I29" t="s">
        <v>45</v>
      </c>
      <c r="J29">
        <v>0</v>
      </c>
    </row>
    <row r="30" spans="1:10">
      <c r="A30">
        <v>8113</v>
      </c>
      <c r="B30">
        <v>120828</v>
      </c>
      <c r="C30">
        <v>0</v>
      </c>
      <c r="D30">
        <v>-22096.5</v>
      </c>
      <c r="E30">
        <v>0</v>
      </c>
      <c r="F30">
        <v>0</v>
      </c>
      <c r="G30">
        <v>0</v>
      </c>
      <c r="H30">
        <v>98731.5</v>
      </c>
      <c r="I30" t="s">
        <v>167</v>
      </c>
      <c r="J30">
        <v>0</v>
      </c>
    </row>
    <row r="31" spans="1:10">
      <c r="A31">
        <v>8152</v>
      </c>
      <c r="B31">
        <v>13426.5</v>
      </c>
      <c r="C31">
        <v>0</v>
      </c>
      <c r="D31">
        <v>15643.5</v>
      </c>
      <c r="E31">
        <v>0</v>
      </c>
      <c r="F31">
        <v>0</v>
      </c>
      <c r="G31">
        <v>0</v>
      </c>
      <c r="H31">
        <v>29069.5</v>
      </c>
      <c r="I31" t="s">
        <v>48</v>
      </c>
      <c r="J31">
        <v>0</v>
      </c>
    </row>
    <row r="32" spans="1:10">
      <c r="A32">
        <v>8160</v>
      </c>
      <c r="B32">
        <v>5151</v>
      </c>
      <c r="C32">
        <v>0</v>
      </c>
      <c r="D32">
        <v>-409</v>
      </c>
      <c r="E32">
        <v>0</v>
      </c>
      <c r="F32">
        <v>0</v>
      </c>
      <c r="G32">
        <v>0</v>
      </c>
      <c r="H32">
        <v>4742</v>
      </c>
      <c r="I32" t="s">
        <v>168</v>
      </c>
      <c r="J32">
        <v>0</v>
      </c>
    </row>
    <row r="33" spans="1:10">
      <c r="A33">
        <v>8162</v>
      </c>
      <c r="B33">
        <v>6783</v>
      </c>
      <c r="C33">
        <v>38895.5</v>
      </c>
      <c r="D33">
        <v>-39717</v>
      </c>
      <c r="E33">
        <v>0</v>
      </c>
      <c r="F33">
        <v>0</v>
      </c>
      <c r="G33">
        <v>0</v>
      </c>
      <c r="H33">
        <v>5961.5</v>
      </c>
      <c r="I33" t="s">
        <v>169</v>
      </c>
      <c r="J33">
        <v>0</v>
      </c>
    </row>
    <row r="34" spans="1:10">
      <c r="A34">
        <v>8200</v>
      </c>
      <c r="B34">
        <v>12997.5</v>
      </c>
      <c r="C34">
        <v>0</v>
      </c>
      <c r="D34">
        <v>-4660.5</v>
      </c>
      <c r="E34">
        <v>0</v>
      </c>
      <c r="F34">
        <v>0</v>
      </c>
      <c r="G34">
        <v>0</v>
      </c>
      <c r="H34">
        <v>8337</v>
      </c>
      <c r="I34" t="s">
        <v>170</v>
      </c>
      <c r="J34">
        <v>0</v>
      </c>
    </row>
    <row r="35" spans="1:10">
      <c r="A35">
        <v>8240</v>
      </c>
      <c r="B35">
        <v>37047</v>
      </c>
      <c r="C35">
        <v>0</v>
      </c>
      <c r="D35">
        <v>4578</v>
      </c>
      <c r="E35">
        <v>0</v>
      </c>
      <c r="F35">
        <v>0</v>
      </c>
      <c r="G35">
        <v>0</v>
      </c>
      <c r="H35">
        <v>41625</v>
      </c>
      <c r="I35" t="s">
        <v>171</v>
      </c>
      <c r="J35">
        <v>0</v>
      </c>
    </row>
    <row r="36" spans="1:10">
      <c r="A36">
        <v>8605</v>
      </c>
      <c r="B36">
        <v>9242</v>
      </c>
      <c r="C36">
        <v>0</v>
      </c>
      <c r="D36">
        <v>9965.5</v>
      </c>
      <c r="E36">
        <v>0</v>
      </c>
      <c r="F36">
        <v>0</v>
      </c>
      <c r="G36">
        <v>0</v>
      </c>
      <c r="H36">
        <v>19207</v>
      </c>
      <c r="I36" t="s">
        <v>204</v>
      </c>
      <c r="J36">
        <v>0</v>
      </c>
    </row>
    <row r="37" spans="1:10">
      <c r="A37">
        <v>8679</v>
      </c>
      <c r="B37">
        <v>86422.5</v>
      </c>
      <c r="C37">
        <v>0</v>
      </c>
      <c r="D37">
        <v>-31323.5</v>
      </c>
      <c r="E37">
        <v>0</v>
      </c>
      <c r="F37">
        <v>0</v>
      </c>
      <c r="G37">
        <v>0</v>
      </c>
      <c r="H37">
        <v>55098.5</v>
      </c>
      <c r="I37" t="s">
        <v>172</v>
      </c>
      <c r="J37">
        <v>0</v>
      </c>
    </row>
    <row r="38" spans="1:10">
      <c r="A38">
        <v>8708</v>
      </c>
      <c r="B38">
        <v>44151</v>
      </c>
      <c r="C38">
        <v>0</v>
      </c>
      <c r="D38">
        <v>52086</v>
      </c>
      <c r="E38">
        <v>71736.5</v>
      </c>
      <c r="F38">
        <v>0</v>
      </c>
      <c r="G38">
        <v>0</v>
      </c>
      <c r="H38">
        <v>24500</v>
      </c>
      <c r="I38" t="s">
        <v>173</v>
      </c>
      <c r="J38">
        <v>0</v>
      </c>
    </row>
    <row r="39" spans="1:10">
      <c r="A39">
        <v>8709</v>
      </c>
      <c r="B39">
        <v>95578</v>
      </c>
      <c r="C39">
        <v>0</v>
      </c>
      <c r="D39">
        <v>-1910.5</v>
      </c>
      <c r="E39">
        <v>0</v>
      </c>
      <c r="F39">
        <v>0</v>
      </c>
      <c r="G39">
        <v>0</v>
      </c>
      <c r="H39">
        <v>93668</v>
      </c>
      <c r="I39" t="s">
        <v>174</v>
      </c>
      <c r="J39">
        <v>0</v>
      </c>
    </row>
    <row r="40" spans="1:10">
      <c r="A40">
        <v>8712</v>
      </c>
      <c r="B40">
        <v>48466.5</v>
      </c>
      <c r="C40">
        <v>0</v>
      </c>
      <c r="D40">
        <v>16148.5</v>
      </c>
      <c r="E40">
        <v>22528</v>
      </c>
      <c r="F40">
        <v>0</v>
      </c>
      <c r="G40">
        <v>93.5</v>
      </c>
      <c r="H40">
        <v>41993</v>
      </c>
      <c r="I40" t="s">
        <v>175</v>
      </c>
      <c r="J40">
        <v>0</v>
      </c>
    </row>
    <row r="41" spans="1:10">
      <c r="A41">
        <v>8720</v>
      </c>
      <c r="B41">
        <v>47005.5</v>
      </c>
      <c r="C41">
        <v>0</v>
      </c>
      <c r="D41">
        <v>-8861</v>
      </c>
      <c r="E41">
        <v>0</v>
      </c>
      <c r="F41">
        <v>0</v>
      </c>
      <c r="G41">
        <v>0</v>
      </c>
      <c r="H41">
        <v>38144.5</v>
      </c>
      <c r="I41" t="s">
        <v>176</v>
      </c>
      <c r="J41">
        <v>0</v>
      </c>
    </row>
    <row r="42" spans="1:10">
      <c r="A42">
        <v>8737</v>
      </c>
      <c r="B42">
        <v>14369</v>
      </c>
      <c r="C42">
        <v>0</v>
      </c>
      <c r="D42">
        <v>1139</v>
      </c>
      <c r="E42">
        <v>0</v>
      </c>
      <c r="F42">
        <v>0</v>
      </c>
      <c r="G42">
        <v>0</v>
      </c>
      <c r="H42">
        <v>15508</v>
      </c>
      <c r="I42" t="s">
        <v>177</v>
      </c>
      <c r="J42">
        <v>0</v>
      </c>
    </row>
    <row r="43" spans="1:10">
      <c r="A43">
        <v>8745</v>
      </c>
      <c r="B43">
        <v>17451</v>
      </c>
      <c r="C43">
        <v>0</v>
      </c>
      <c r="D43">
        <v>-4432</v>
      </c>
      <c r="E43">
        <v>0</v>
      </c>
      <c r="F43">
        <v>0</v>
      </c>
      <c r="G43">
        <v>0</v>
      </c>
      <c r="H43">
        <v>13019</v>
      </c>
      <c r="I43" t="s">
        <v>178</v>
      </c>
      <c r="J43">
        <v>0</v>
      </c>
    </row>
    <row r="44" spans="1:10">
      <c r="A44">
        <v>8771</v>
      </c>
      <c r="B44">
        <v>16208.5</v>
      </c>
      <c r="C44">
        <v>0</v>
      </c>
      <c r="D44">
        <v>-886</v>
      </c>
      <c r="E44">
        <v>0</v>
      </c>
      <c r="F44">
        <v>0</v>
      </c>
      <c r="G44">
        <v>0</v>
      </c>
      <c r="H44">
        <v>15322.5</v>
      </c>
      <c r="I44" t="s">
        <v>179</v>
      </c>
      <c r="J44">
        <v>0</v>
      </c>
    </row>
    <row r="45" spans="1:10">
      <c r="A45">
        <v>8949</v>
      </c>
      <c r="B45">
        <v>0</v>
      </c>
      <c r="C45">
        <v>30035.5</v>
      </c>
      <c r="D45">
        <v>-30035.5</v>
      </c>
      <c r="E45">
        <v>0</v>
      </c>
      <c r="F45">
        <v>0</v>
      </c>
      <c r="G45">
        <v>0</v>
      </c>
      <c r="H45">
        <v>0</v>
      </c>
      <c r="I45" t="s">
        <v>256</v>
      </c>
      <c r="J45">
        <v>0</v>
      </c>
    </row>
    <row r="46" spans="1:10">
      <c r="A46">
        <v>8951</v>
      </c>
      <c r="B46">
        <v>0</v>
      </c>
      <c r="C46">
        <v>0</v>
      </c>
      <c r="D46">
        <v>97919.5</v>
      </c>
      <c r="E46">
        <v>0</v>
      </c>
      <c r="F46">
        <v>0</v>
      </c>
      <c r="G46">
        <v>0</v>
      </c>
      <c r="H46">
        <v>0</v>
      </c>
      <c r="I46" t="s">
        <v>180</v>
      </c>
      <c r="J46">
        <v>0</v>
      </c>
    </row>
    <row r="47" spans="1:10">
      <c r="A47">
        <v>24504</v>
      </c>
      <c r="B47">
        <v>2441</v>
      </c>
      <c r="C47">
        <v>0</v>
      </c>
      <c r="D47">
        <v>12664</v>
      </c>
      <c r="E47">
        <v>0</v>
      </c>
      <c r="F47">
        <v>0</v>
      </c>
      <c r="G47">
        <v>0</v>
      </c>
      <c r="H47">
        <v>15105</v>
      </c>
      <c r="I47" t="s">
        <v>181</v>
      </c>
      <c r="J47">
        <v>0</v>
      </c>
    </row>
    <row r="48" spans="1:10">
      <c r="A48">
        <v>26647</v>
      </c>
      <c r="B48">
        <v>31654</v>
      </c>
      <c r="C48">
        <v>0</v>
      </c>
      <c r="D48">
        <v>-25684</v>
      </c>
      <c r="E48">
        <v>0</v>
      </c>
      <c r="F48">
        <v>0</v>
      </c>
      <c r="G48">
        <v>0</v>
      </c>
      <c r="H48">
        <v>5970</v>
      </c>
      <c r="I48" t="s">
        <v>269</v>
      </c>
      <c r="J48">
        <v>0</v>
      </c>
    </row>
    <row r="49" spans="1:10">
      <c r="A49">
        <v>26668</v>
      </c>
      <c r="B49">
        <v>0</v>
      </c>
      <c r="C49">
        <v>0</v>
      </c>
      <c r="D49">
        <v>15</v>
      </c>
      <c r="E49">
        <v>0</v>
      </c>
      <c r="F49">
        <v>0</v>
      </c>
      <c r="G49">
        <v>15</v>
      </c>
      <c r="H49">
        <v>0</v>
      </c>
      <c r="I49" t="s">
        <v>295</v>
      </c>
      <c r="J49">
        <v>0</v>
      </c>
    </row>
    <row r="50" spans="1:10">
      <c r="A50">
        <v>26672</v>
      </c>
      <c r="B50">
        <v>81401</v>
      </c>
      <c r="C50">
        <v>0</v>
      </c>
      <c r="D50">
        <v>256509</v>
      </c>
      <c r="E50">
        <v>289559</v>
      </c>
      <c r="F50">
        <v>0</v>
      </c>
      <c r="G50">
        <v>183</v>
      </c>
      <c r="H50">
        <v>48168</v>
      </c>
      <c r="I50" t="s">
        <v>182</v>
      </c>
      <c r="J50">
        <v>0</v>
      </c>
    </row>
    <row r="51" spans="1:10">
      <c r="A51">
        <v>26797</v>
      </c>
      <c r="B51">
        <v>118554</v>
      </c>
      <c r="C51">
        <v>50000</v>
      </c>
      <c r="D51">
        <v>472271.5</v>
      </c>
      <c r="E51">
        <v>510169</v>
      </c>
      <c r="F51">
        <v>0</v>
      </c>
      <c r="G51">
        <v>846.5</v>
      </c>
      <c r="H51">
        <v>129810</v>
      </c>
      <c r="I51" t="s">
        <v>264</v>
      </c>
      <c r="J51">
        <v>0</v>
      </c>
    </row>
    <row r="52" spans="1:10">
      <c r="A52">
        <v>26858</v>
      </c>
      <c r="B52">
        <v>118231.5</v>
      </c>
      <c r="C52">
        <v>0</v>
      </c>
      <c r="D52">
        <v>667186.5</v>
      </c>
      <c r="E52">
        <v>662580.5</v>
      </c>
      <c r="F52">
        <v>0</v>
      </c>
      <c r="G52">
        <v>0</v>
      </c>
      <c r="H52">
        <v>122837.5</v>
      </c>
      <c r="I52" t="s">
        <v>65</v>
      </c>
      <c r="J52">
        <v>0</v>
      </c>
    </row>
    <row r="53" spans="1:10">
      <c r="A53">
        <v>27101</v>
      </c>
      <c r="B53">
        <v>107106.5</v>
      </c>
      <c r="C53">
        <v>0</v>
      </c>
      <c r="D53">
        <v>1367986.5</v>
      </c>
      <c r="E53">
        <v>1317893.5</v>
      </c>
      <c r="F53">
        <v>0</v>
      </c>
      <c r="G53">
        <v>-599.5</v>
      </c>
      <c r="H53">
        <v>157799</v>
      </c>
      <c r="I53" t="s">
        <v>183</v>
      </c>
      <c r="J53">
        <v>0</v>
      </c>
    </row>
    <row r="54" spans="1:10">
      <c r="A54">
        <v>34201</v>
      </c>
      <c r="B54">
        <v>43052.5</v>
      </c>
      <c r="C54">
        <v>0</v>
      </c>
      <c r="D54">
        <v>-296.5</v>
      </c>
      <c r="E54">
        <v>0</v>
      </c>
      <c r="F54">
        <v>0</v>
      </c>
      <c r="G54">
        <v>0</v>
      </c>
      <c r="H54">
        <v>42756</v>
      </c>
      <c r="I54" t="s">
        <v>184</v>
      </c>
      <c r="J54">
        <v>0</v>
      </c>
    </row>
    <row r="55" spans="1:10">
      <c r="A55">
        <v>34203</v>
      </c>
      <c r="B55">
        <v>12225</v>
      </c>
      <c r="C55">
        <v>0</v>
      </c>
      <c r="D55">
        <v>68579</v>
      </c>
      <c r="E55">
        <v>28025</v>
      </c>
      <c r="F55">
        <v>0</v>
      </c>
      <c r="G55">
        <v>0</v>
      </c>
      <c r="H55">
        <v>52779</v>
      </c>
      <c r="I55" t="s">
        <v>218</v>
      </c>
      <c r="J55">
        <v>0</v>
      </c>
    </row>
    <row r="56" spans="1:10">
      <c r="A56">
        <v>34214</v>
      </c>
      <c r="B56">
        <v>17730.5</v>
      </c>
      <c r="C56">
        <v>0</v>
      </c>
      <c r="D56">
        <v>-4267.5</v>
      </c>
      <c r="E56">
        <v>0</v>
      </c>
      <c r="F56">
        <v>0</v>
      </c>
      <c r="G56">
        <v>0</v>
      </c>
      <c r="H56">
        <v>13463</v>
      </c>
      <c r="I56" t="s">
        <v>185</v>
      </c>
      <c r="J56">
        <v>0</v>
      </c>
    </row>
    <row r="57" spans="1:10">
      <c r="A57">
        <v>36515</v>
      </c>
      <c r="B57">
        <v>126544</v>
      </c>
      <c r="C57">
        <v>0</v>
      </c>
      <c r="D57">
        <v>-9933.5</v>
      </c>
      <c r="E57">
        <v>0</v>
      </c>
      <c r="F57">
        <v>0</v>
      </c>
      <c r="G57">
        <v>0</v>
      </c>
      <c r="H57">
        <v>116610.5</v>
      </c>
      <c r="I57" t="s">
        <v>186</v>
      </c>
      <c r="J57">
        <v>0</v>
      </c>
    </row>
    <row r="58" spans="1:10">
      <c r="A58">
        <v>41055</v>
      </c>
      <c r="B58">
        <v>0</v>
      </c>
      <c r="C58">
        <v>0</v>
      </c>
      <c r="D58">
        <v>49816.5</v>
      </c>
      <c r="E58">
        <v>49816.5</v>
      </c>
      <c r="F58">
        <v>0</v>
      </c>
      <c r="G58">
        <v>0</v>
      </c>
      <c r="H58">
        <v>0</v>
      </c>
      <c r="I58" t="s">
        <v>297</v>
      </c>
      <c r="J58">
        <v>0</v>
      </c>
    </row>
    <row r="59" spans="1:10">
      <c r="A59">
        <v>41315</v>
      </c>
      <c r="B59">
        <v>137264</v>
      </c>
      <c r="C59">
        <v>0</v>
      </c>
      <c r="D59">
        <v>670784</v>
      </c>
      <c r="E59">
        <v>765977</v>
      </c>
      <c r="F59">
        <v>0</v>
      </c>
      <c r="G59">
        <v>0</v>
      </c>
      <c r="H59">
        <v>42071</v>
      </c>
      <c r="I59" t="s">
        <v>187</v>
      </c>
      <c r="J59">
        <v>0</v>
      </c>
    </row>
    <row r="60" spans="1:10">
      <c r="A60">
        <v>41430</v>
      </c>
      <c r="B60">
        <v>24180</v>
      </c>
      <c r="C60">
        <v>250457.5</v>
      </c>
      <c r="D60">
        <v>-238111.5</v>
      </c>
      <c r="E60">
        <v>0</v>
      </c>
      <c r="F60">
        <v>0</v>
      </c>
      <c r="G60">
        <v>-346.5</v>
      </c>
      <c r="H60">
        <v>36872</v>
      </c>
      <c r="I60" t="s">
        <v>209</v>
      </c>
      <c r="J60">
        <v>0</v>
      </c>
    </row>
    <row r="61" spans="1:10">
      <c r="A61">
        <v>41604</v>
      </c>
      <c r="B61">
        <v>13507.5</v>
      </c>
      <c r="C61">
        <v>0</v>
      </c>
      <c r="D61">
        <v>1174</v>
      </c>
      <c r="E61">
        <v>0</v>
      </c>
      <c r="F61">
        <v>0</v>
      </c>
      <c r="G61">
        <v>0</v>
      </c>
      <c r="H61">
        <v>14681.5</v>
      </c>
      <c r="I61" t="s">
        <v>257</v>
      </c>
      <c r="J61">
        <v>0</v>
      </c>
    </row>
    <row r="62" spans="1:10">
      <c r="A62">
        <v>50029</v>
      </c>
      <c r="B62">
        <v>3695</v>
      </c>
      <c r="C62">
        <v>498451</v>
      </c>
      <c r="D62">
        <v>-234633</v>
      </c>
      <c r="E62">
        <v>0</v>
      </c>
      <c r="F62">
        <v>0</v>
      </c>
      <c r="G62">
        <v>0</v>
      </c>
      <c r="H62">
        <v>267513</v>
      </c>
      <c r="I62" t="s">
        <v>271</v>
      </c>
      <c r="J62">
        <v>0</v>
      </c>
    </row>
    <row r="63" spans="1:10">
      <c r="A63">
        <v>50351</v>
      </c>
      <c r="B63">
        <v>36450</v>
      </c>
      <c r="C63">
        <v>0</v>
      </c>
      <c r="D63">
        <v>268.5</v>
      </c>
      <c r="E63">
        <v>0</v>
      </c>
      <c r="F63">
        <v>0</v>
      </c>
      <c r="G63">
        <v>0</v>
      </c>
      <c r="H63">
        <v>36718.5</v>
      </c>
      <c r="I63" t="s">
        <v>242</v>
      </c>
      <c r="J63">
        <v>0</v>
      </c>
    </row>
    <row r="64" spans="1:10">
      <c r="A64">
        <v>50360</v>
      </c>
      <c r="B64">
        <v>30319.5</v>
      </c>
      <c r="C64">
        <v>0</v>
      </c>
      <c r="D64">
        <v>48607</v>
      </c>
      <c r="E64">
        <v>24617</v>
      </c>
      <c r="F64">
        <v>0</v>
      </c>
      <c r="G64">
        <v>0</v>
      </c>
      <c r="H64">
        <v>54309</v>
      </c>
      <c r="I64" t="s">
        <v>188</v>
      </c>
      <c r="J64">
        <v>0</v>
      </c>
    </row>
    <row r="65" spans="1:10">
      <c r="A65">
        <v>50362</v>
      </c>
      <c r="B65">
        <v>45388.5</v>
      </c>
      <c r="C65">
        <v>0</v>
      </c>
      <c r="D65">
        <v>-8054</v>
      </c>
      <c r="E65">
        <v>0</v>
      </c>
      <c r="F65">
        <v>0</v>
      </c>
      <c r="G65">
        <v>0</v>
      </c>
      <c r="H65">
        <v>37334.5</v>
      </c>
      <c r="I65" t="s">
        <v>189</v>
      </c>
      <c r="J65">
        <v>0</v>
      </c>
    </row>
    <row r="66" spans="1:10">
      <c r="A66">
        <v>50364</v>
      </c>
      <c r="B66">
        <v>47801</v>
      </c>
      <c r="C66">
        <v>0</v>
      </c>
      <c r="D66">
        <v>17523</v>
      </c>
      <c r="E66">
        <v>0</v>
      </c>
      <c r="F66">
        <v>0</v>
      </c>
      <c r="G66">
        <v>0</v>
      </c>
      <c r="H66">
        <v>65324</v>
      </c>
      <c r="I66" t="s">
        <v>190</v>
      </c>
      <c r="J66">
        <v>0</v>
      </c>
    </row>
    <row r="67" spans="1:10">
      <c r="A67">
        <v>82396</v>
      </c>
      <c r="B67">
        <v>640436.5</v>
      </c>
      <c r="C67">
        <v>249943</v>
      </c>
      <c r="D67">
        <v>-613657</v>
      </c>
      <c r="E67">
        <v>0</v>
      </c>
      <c r="F67">
        <v>0</v>
      </c>
      <c r="G67">
        <v>0</v>
      </c>
      <c r="H67">
        <v>276723</v>
      </c>
      <c r="I67" t="s">
        <v>93</v>
      </c>
      <c r="J67">
        <v>0</v>
      </c>
    </row>
    <row r="68" spans="1:10">
      <c r="A68">
        <v>86666</v>
      </c>
      <c r="B68">
        <v>50784</v>
      </c>
      <c r="C68">
        <v>0</v>
      </c>
      <c r="D68">
        <v>2085</v>
      </c>
      <c r="E68">
        <v>0</v>
      </c>
      <c r="F68">
        <v>0</v>
      </c>
      <c r="G68">
        <v>0</v>
      </c>
      <c r="H68">
        <v>52869</v>
      </c>
      <c r="I68" t="s">
        <v>1</v>
      </c>
      <c r="J68">
        <v>0</v>
      </c>
    </row>
    <row r="69" spans="1:10">
      <c r="A69">
        <v>87035</v>
      </c>
      <c r="B69">
        <v>0</v>
      </c>
      <c r="C69">
        <v>0</v>
      </c>
      <c r="D69">
        <v>38846</v>
      </c>
      <c r="E69">
        <v>38846</v>
      </c>
      <c r="F69">
        <v>0</v>
      </c>
      <c r="G69">
        <v>0</v>
      </c>
      <c r="H69">
        <v>0</v>
      </c>
      <c r="I69" t="s">
        <v>191</v>
      </c>
      <c r="J69">
        <v>0</v>
      </c>
    </row>
    <row r="70" spans="1:10">
      <c r="A70">
        <v>87040</v>
      </c>
      <c r="B70">
        <v>0</v>
      </c>
      <c r="C70">
        <v>0</v>
      </c>
      <c r="D70">
        <v>159274.5</v>
      </c>
      <c r="E70">
        <v>159274.5</v>
      </c>
      <c r="F70">
        <v>0</v>
      </c>
      <c r="G70">
        <v>0</v>
      </c>
      <c r="H70">
        <v>0</v>
      </c>
      <c r="I70" t="s">
        <v>192</v>
      </c>
      <c r="J70">
        <v>0</v>
      </c>
    </row>
    <row r="71" spans="1:10">
      <c r="A71">
        <v>87045</v>
      </c>
      <c r="B71">
        <v>0</v>
      </c>
      <c r="C71">
        <v>6705</v>
      </c>
      <c r="D71">
        <v>-6705</v>
      </c>
      <c r="E71">
        <v>0</v>
      </c>
      <c r="F71">
        <v>0</v>
      </c>
      <c r="G71">
        <v>0</v>
      </c>
      <c r="H71">
        <v>0</v>
      </c>
      <c r="I71" t="s">
        <v>220</v>
      </c>
      <c r="J71">
        <v>0</v>
      </c>
    </row>
    <row r="72" spans="1:10">
      <c r="A72">
        <v>87466</v>
      </c>
      <c r="B72">
        <v>0</v>
      </c>
      <c r="C72">
        <v>99970</v>
      </c>
      <c r="D72">
        <v>-99970</v>
      </c>
      <c r="E72">
        <v>0</v>
      </c>
      <c r="F72">
        <v>0</v>
      </c>
      <c r="G72">
        <v>0</v>
      </c>
      <c r="H72">
        <v>0</v>
      </c>
      <c r="I72" t="s">
        <v>235</v>
      </c>
      <c r="J72">
        <v>0</v>
      </c>
    </row>
    <row r="73" spans="1:10">
      <c r="A73">
        <v>87476</v>
      </c>
      <c r="B73">
        <v>0</v>
      </c>
      <c r="C73">
        <v>0</v>
      </c>
      <c r="D73">
        <v>2599</v>
      </c>
      <c r="E73">
        <v>2599</v>
      </c>
      <c r="F73">
        <v>0</v>
      </c>
      <c r="G73">
        <v>0</v>
      </c>
      <c r="H73">
        <v>0</v>
      </c>
      <c r="I73" t="s">
        <v>193</v>
      </c>
      <c r="J73">
        <v>0</v>
      </c>
    </row>
    <row r="74" spans="1:10">
      <c r="A74">
        <v>87501</v>
      </c>
      <c r="B74">
        <v>0</v>
      </c>
      <c r="C74">
        <v>0</v>
      </c>
      <c r="D74">
        <v>121.5</v>
      </c>
      <c r="E74">
        <v>121.5</v>
      </c>
      <c r="F74">
        <v>0</v>
      </c>
      <c r="G74">
        <v>0</v>
      </c>
      <c r="H74">
        <v>0</v>
      </c>
      <c r="I74" t="s">
        <v>259</v>
      </c>
      <c r="J74">
        <v>0</v>
      </c>
    </row>
    <row r="75" spans="1:10">
      <c r="A75">
        <v>87546</v>
      </c>
      <c r="B75">
        <v>0</v>
      </c>
      <c r="C75">
        <v>188.5</v>
      </c>
      <c r="D75">
        <v>-188.5</v>
      </c>
      <c r="E75">
        <v>0</v>
      </c>
      <c r="F75">
        <v>0</v>
      </c>
      <c r="G75">
        <v>0</v>
      </c>
      <c r="H75">
        <v>0</v>
      </c>
      <c r="I75" t="s">
        <v>299</v>
      </c>
      <c r="J75">
        <v>0</v>
      </c>
    </row>
    <row r="76" spans="1:10">
      <c r="A76">
        <v>87547</v>
      </c>
      <c r="B76">
        <v>0</v>
      </c>
      <c r="C76">
        <v>83909</v>
      </c>
      <c r="D76">
        <v>-83909</v>
      </c>
      <c r="E76">
        <v>0</v>
      </c>
      <c r="F76">
        <v>0</v>
      </c>
      <c r="G76">
        <v>0</v>
      </c>
      <c r="H76">
        <v>0</v>
      </c>
      <c r="I76" t="s">
        <v>222</v>
      </c>
      <c r="J76">
        <v>0</v>
      </c>
    </row>
    <row r="77" spans="1:10">
      <c r="A77">
        <v>87548</v>
      </c>
      <c r="B77">
        <v>0</v>
      </c>
      <c r="C77">
        <v>30004.5</v>
      </c>
      <c r="D77">
        <v>-30004.5</v>
      </c>
      <c r="E77">
        <v>0</v>
      </c>
      <c r="F77">
        <v>0</v>
      </c>
      <c r="G77">
        <v>0</v>
      </c>
      <c r="H77">
        <v>0</v>
      </c>
      <c r="I77" t="s">
        <v>240</v>
      </c>
      <c r="J77">
        <v>0</v>
      </c>
    </row>
    <row r="78" spans="1:10">
      <c r="A78">
        <v>87555</v>
      </c>
      <c r="B78">
        <v>0</v>
      </c>
      <c r="C78">
        <v>22111.5</v>
      </c>
      <c r="D78">
        <v>-22111.5</v>
      </c>
      <c r="E78">
        <v>0</v>
      </c>
      <c r="F78">
        <v>0</v>
      </c>
      <c r="G78">
        <v>0</v>
      </c>
      <c r="H78">
        <v>0</v>
      </c>
      <c r="I78" t="s">
        <v>194</v>
      </c>
      <c r="J78">
        <v>0</v>
      </c>
    </row>
    <row r="79" spans="1:10">
      <c r="A79">
        <v>87574</v>
      </c>
      <c r="B79">
        <v>0</v>
      </c>
      <c r="C79">
        <v>0</v>
      </c>
      <c r="D79">
        <v>287251</v>
      </c>
      <c r="E79">
        <v>287251</v>
      </c>
      <c r="F79">
        <v>0</v>
      </c>
      <c r="G79">
        <v>0</v>
      </c>
      <c r="H79">
        <v>0</v>
      </c>
      <c r="I79" t="s">
        <v>195</v>
      </c>
      <c r="J79">
        <v>0</v>
      </c>
    </row>
    <row r="80" spans="1:10">
      <c r="A80">
        <v>87591</v>
      </c>
      <c r="B80">
        <v>0</v>
      </c>
      <c r="C80">
        <v>0</v>
      </c>
      <c r="D80">
        <v>5789</v>
      </c>
      <c r="E80">
        <v>5789</v>
      </c>
      <c r="F80">
        <v>0</v>
      </c>
      <c r="G80">
        <v>0</v>
      </c>
      <c r="H80">
        <v>0</v>
      </c>
      <c r="I80" t="s">
        <v>156</v>
      </c>
      <c r="J80">
        <v>0</v>
      </c>
    </row>
    <row r="81" spans="1:10">
      <c r="A81">
        <v>87604</v>
      </c>
      <c r="B81">
        <v>0</v>
      </c>
      <c r="C81">
        <v>20381</v>
      </c>
      <c r="D81">
        <v>-20381</v>
      </c>
      <c r="E81">
        <v>0</v>
      </c>
      <c r="F81">
        <v>0</v>
      </c>
      <c r="G81">
        <v>0</v>
      </c>
      <c r="H81">
        <v>0</v>
      </c>
      <c r="I81" t="s">
        <v>232</v>
      </c>
      <c r="J81">
        <v>0</v>
      </c>
    </row>
    <row r="82" spans="1:10">
      <c r="A82">
        <v>87640</v>
      </c>
      <c r="B82">
        <v>0</v>
      </c>
      <c r="C82">
        <v>0</v>
      </c>
      <c r="D82">
        <v>55998</v>
      </c>
      <c r="E82">
        <v>55998</v>
      </c>
      <c r="F82">
        <v>0</v>
      </c>
      <c r="G82">
        <v>0</v>
      </c>
      <c r="H82">
        <v>0</v>
      </c>
      <c r="I82" t="s">
        <v>273</v>
      </c>
      <c r="J82">
        <v>0</v>
      </c>
    </row>
    <row r="83" spans="1:10">
      <c r="A83">
        <v>87644</v>
      </c>
      <c r="B83">
        <v>0</v>
      </c>
      <c r="C83">
        <v>20404.5</v>
      </c>
      <c r="D83">
        <v>-20404.5</v>
      </c>
      <c r="E83">
        <v>0</v>
      </c>
      <c r="F83">
        <v>0</v>
      </c>
      <c r="G83">
        <v>0</v>
      </c>
      <c r="H83">
        <v>0</v>
      </c>
      <c r="I83" t="s">
        <v>196</v>
      </c>
      <c r="J83">
        <v>0</v>
      </c>
    </row>
    <row r="84" spans="1:10">
      <c r="A84">
        <v>87648</v>
      </c>
      <c r="B84">
        <v>0</v>
      </c>
      <c r="C84">
        <v>110719.5</v>
      </c>
      <c r="D84">
        <v>-110719.5</v>
      </c>
      <c r="E84">
        <v>0</v>
      </c>
      <c r="F84">
        <v>0</v>
      </c>
      <c r="G84">
        <v>0</v>
      </c>
      <c r="H84">
        <v>0</v>
      </c>
      <c r="I84" t="s">
        <v>247</v>
      </c>
      <c r="J84">
        <v>0</v>
      </c>
    </row>
    <row r="85" spans="1:10">
      <c r="A85">
        <v>87656</v>
      </c>
      <c r="B85">
        <v>0</v>
      </c>
      <c r="C85">
        <v>0</v>
      </c>
      <c r="D85">
        <v>32481</v>
      </c>
      <c r="E85">
        <v>32481</v>
      </c>
      <c r="F85">
        <v>0</v>
      </c>
      <c r="G85">
        <v>0</v>
      </c>
      <c r="H85">
        <v>0</v>
      </c>
      <c r="I85" t="s">
        <v>197</v>
      </c>
      <c r="J85">
        <v>0</v>
      </c>
    </row>
    <row r="86" spans="1:10">
      <c r="A86">
        <v>87669</v>
      </c>
      <c r="B86">
        <v>0</v>
      </c>
      <c r="C86">
        <v>0</v>
      </c>
      <c r="D86">
        <v>116578.5</v>
      </c>
      <c r="E86">
        <v>116578.5</v>
      </c>
      <c r="F86">
        <v>0</v>
      </c>
      <c r="G86">
        <v>0</v>
      </c>
      <c r="H86">
        <v>0</v>
      </c>
      <c r="I86" t="s">
        <v>261</v>
      </c>
      <c r="J86">
        <v>0</v>
      </c>
    </row>
    <row r="87" spans="1:10">
      <c r="A87">
        <v>87981</v>
      </c>
      <c r="B87">
        <v>0</v>
      </c>
      <c r="C87">
        <v>0</v>
      </c>
      <c r="D87">
        <v>6803.5</v>
      </c>
      <c r="E87">
        <v>6803.5</v>
      </c>
      <c r="F87">
        <v>0</v>
      </c>
      <c r="G87">
        <v>0</v>
      </c>
      <c r="H87">
        <v>0</v>
      </c>
      <c r="I87" t="s">
        <v>198</v>
      </c>
      <c r="J87">
        <v>0</v>
      </c>
    </row>
    <row r="88" spans="1:10">
      <c r="A88">
        <v>87990</v>
      </c>
      <c r="B88">
        <v>0</v>
      </c>
      <c r="C88">
        <v>120126.5</v>
      </c>
      <c r="D88">
        <v>-120126.5</v>
      </c>
      <c r="E88">
        <v>0</v>
      </c>
      <c r="F88">
        <v>0</v>
      </c>
      <c r="G88">
        <v>0</v>
      </c>
      <c r="H88">
        <v>0</v>
      </c>
      <c r="I88" t="s">
        <v>224</v>
      </c>
      <c r="J88">
        <v>0</v>
      </c>
    </row>
    <row r="89" spans="1:10">
      <c r="A89">
        <v>87992</v>
      </c>
      <c r="B89">
        <v>0</v>
      </c>
      <c r="C89">
        <v>9695</v>
      </c>
      <c r="D89">
        <v>-9695</v>
      </c>
      <c r="E89">
        <v>0</v>
      </c>
      <c r="F89">
        <v>0</v>
      </c>
      <c r="G89">
        <v>0</v>
      </c>
      <c r="H89">
        <v>0</v>
      </c>
      <c r="I89" t="s">
        <v>226</v>
      </c>
      <c r="J89">
        <v>0</v>
      </c>
    </row>
    <row r="90" spans="1:10">
      <c r="A90">
        <v>92000</v>
      </c>
      <c r="B90">
        <v>4180</v>
      </c>
      <c r="C90">
        <v>0</v>
      </c>
      <c r="D90">
        <v>78532</v>
      </c>
      <c r="E90">
        <v>77315</v>
      </c>
      <c r="F90">
        <v>0</v>
      </c>
      <c r="G90">
        <v>0</v>
      </c>
      <c r="H90">
        <v>5397</v>
      </c>
      <c r="I90" t="s">
        <v>199</v>
      </c>
      <c r="J90">
        <v>0</v>
      </c>
    </row>
    <row r="91" spans="1:10">
      <c r="A91">
        <v>92107</v>
      </c>
      <c r="B91">
        <v>14131.5</v>
      </c>
      <c r="C91">
        <v>0</v>
      </c>
      <c r="D91">
        <v>101350.5</v>
      </c>
      <c r="E91">
        <v>102328</v>
      </c>
      <c r="F91">
        <v>0</v>
      </c>
      <c r="G91">
        <v>0</v>
      </c>
      <c r="H91">
        <v>13154.5</v>
      </c>
      <c r="I91" t="s">
        <v>200</v>
      </c>
      <c r="J91">
        <v>0</v>
      </c>
    </row>
    <row r="92" spans="1:10">
      <c r="A92">
        <v>92550</v>
      </c>
      <c r="B92">
        <v>0</v>
      </c>
      <c r="C92">
        <v>0</v>
      </c>
      <c r="D92">
        <v>83611</v>
      </c>
      <c r="E92">
        <v>83611</v>
      </c>
      <c r="F92">
        <v>0</v>
      </c>
      <c r="G92">
        <v>0</v>
      </c>
      <c r="H92">
        <v>0</v>
      </c>
      <c r="I92" t="s">
        <v>212</v>
      </c>
      <c r="J92">
        <v>0</v>
      </c>
    </row>
    <row r="93" spans="1:10">
      <c r="A93">
        <v>92606</v>
      </c>
      <c r="B93">
        <v>22257.5</v>
      </c>
      <c r="C93">
        <v>52609</v>
      </c>
      <c r="D93">
        <v>-58494.5</v>
      </c>
      <c r="E93">
        <v>0</v>
      </c>
      <c r="F93">
        <v>0</v>
      </c>
      <c r="G93">
        <v>0</v>
      </c>
      <c r="H93">
        <v>16372.5</v>
      </c>
      <c r="I93" t="s">
        <v>309</v>
      </c>
      <c r="J93">
        <v>0</v>
      </c>
    </row>
    <row r="95" spans="1:10">
      <c r="B95">
        <f>SUM(B1:B94)</f>
        <v>4158279</v>
      </c>
      <c r="C95">
        <f t="shared" ref="C95:H95" si="0">SUM(C1:C94)</f>
        <v>5727615</v>
      </c>
      <c r="D95">
        <f t="shared" si="0"/>
        <v>401030.5</v>
      </c>
      <c r="E95">
        <f t="shared" si="0"/>
        <v>6316476</v>
      </c>
      <c r="F95">
        <f t="shared" si="0"/>
        <v>0</v>
      </c>
      <c r="G95">
        <f t="shared" si="0"/>
        <v>14307.5</v>
      </c>
      <c r="H95">
        <f t="shared" si="0"/>
        <v>3819530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05"/>
  <sheetViews>
    <sheetView workbookViewId="0">
      <pane ySplit="510" topLeftCell="A145" activePane="bottomLeft"/>
      <selection pane="bottomLeft" activeCell="F6" sqref="F6"/>
    </sheetView>
  </sheetViews>
  <sheetFormatPr defaultRowHeight="12.75"/>
  <cols>
    <col min="1" max="1" width="2.140625" bestFit="1" customWidth="1"/>
    <col min="2" max="2" width="11.28515625" bestFit="1" customWidth="1"/>
    <col min="3" max="3" width="12.85546875" bestFit="1" customWidth="1"/>
    <col min="4" max="4" width="16" bestFit="1" customWidth="1"/>
    <col min="5" max="5" width="12.42578125" bestFit="1" customWidth="1"/>
    <col min="6" max="6" width="12.85546875" bestFit="1" customWidth="1"/>
    <col min="7" max="7" width="8.28515625" bestFit="1" customWidth="1"/>
    <col min="8" max="8" width="10.28515625" bestFit="1" customWidth="1"/>
    <col min="9" max="9" width="12.85546875" bestFit="1" customWidth="1"/>
  </cols>
  <sheetData>
    <row r="1" spans="2:9"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</row>
    <row r="2" spans="2:9">
      <c r="B2">
        <v>1037</v>
      </c>
      <c r="C2">
        <v>0</v>
      </c>
      <c r="D2">
        <v>0</v>
      </c>
      <c r="E2" s="90">
        <v>38690</v>
      </c>
      <c r="F2">
        <v>0</v>
      </c>
      <c r="G2">
        <v>0</v>
      </c>
      <c r="H2">
        <v>0</v>
      </c>
      <c r="I2">
        <v>0</v>
      </c>
    </row>
    <row r="4" spans="2:9">
      <c r="B4">
        <v>1046</v>
      </c>
      <c r="C4" s="90">
        <v>22714.5</v>
      </c>
      <c r="D4">
        <v>0</v>
      </c>
      <c r="E4" s="90">
        <v>42098</v>
      </c>
      <c r="F4" s="90">
        <v>35599</v>
      </c>
      <c r="G4">
        <v>0</v>
      </c>
      <c r="H4">
        <v>0</v>
      </c>
      <c r="I4" s="90">
        <v>29213.5</v>
      </c>
    </row>
    <row r="6" spans="2:9">
      <c r="B6">
        <v>1048</v>
      </c>
      <c r="C6">
        <v>0</v>
      </c>
      <c r="D6">
        <v>0</v>
      </c>
      <c r="E6" s="90">
        <v>30999.5</v>
      </c>
      <c r="F6" s="90">
        <v>30999.5</v>
      </c>
      <c r="G6">
        <v>0</v>
      </c>
      <c r="H6">
        <v>0</v>
      </c>
      <c r="I6">
        <v>0</v>
      </c>
    </row>
    <row r="8" spans="2:9">
      <c r="B8">
        <v>110</v>
      </c>
      <c r="C8" s="90">
        <v>2715.5</v>
      </c>
      <c r="D8">
        <v>0</v>
      </c>
      <c r="E8" s="90">
        <v>-1894</v>
      </c>
      <c r="F8">
        <v>0</v>
      </c>
      <c r="G8">
        <v>0</v>
      </c>
      <c r="H8">
        <v>0</v>
      </c>
      <c r="I8">
        <v>822</v>
      </c>
    </row>
    <row r="10" spans="2:9">
      <c r="B10">
        <v>130</v>
      </c>
      <c r="C10" s="90">
        <v>1030.5</v>
      </c>
      <c r="D10">
        <v>0</v>
      </c>
      <c r="E10">
        <v>-0.5</v>
      </c>
      <c r="F10">
        <v>0</v>
      </c>
      <c r="G10">
        <v>0</v>
      </c>
      <c r="H10">
        <v>0</v>
      </c>
      <c r="I10" s="90">
        <v>1030</v>
      </c>
    </row>
    <row r="12" spans="2:9">
      <c r="B12">
        <v>204</v>
      </c>
      <c r="C12">
        <v>0</v>
      </c>
      <c r="D12" s="90">
        <v>162537</v>
      </c>
      <c r="E12" s="90">
        <v>-162537</v>
      </c>
      <c r="F12">
        <v>0</v>
      </c>
      <c r="G12">
        <v>0</v>
      </c>
      <c r="H12">
        <v>0</v>
      </c>
      <c r="I12">
        <v>0</v>
      </c>
    </row>
    <row r="14" spans="2:9">
      <c r="B14">
        <v>206</v>
      </c>
      <c r="C14">
        <v>0</v>
      </c>
      <c r="D14" s="90">
        <v>99646</v>
      </c>
      <c r="E14" s="90">
        <v>-86876</v>
      </c>
      <c r="F14">
        <v>0</v>
      </c>
      <c r="G14">
        <v>0</v>
      </c>
      <c r="H14">
        <v>0</v>
      </c>
      <c r="I14" s="90">
        <v>12769.5</v>
      </c>
    </row>
    <row r="16" spans="2:9">
      <c r="B16">
        <v>215</v>
      </c>
      <c r="C16" s="90">
        <v>57920</v>
      </c>
      <c r="D16" s="90">
        <v>59828</v>
      </c>
      <c r="E16" s="90">
        <v>-48625.5</v>
      </c>
      <c r="F16">
        <v>0</v>
      </c>
      <c r="G16">
        <v>0</v>
      </c>
      <c r="H16">
        <v>0</v>
      </c>
      <c r="I16" s="90">
        <v>69122.5</v>
      </c>
    </row>
    <row r="18" spans="2:9">
      <c r="B18">
        <v>24504</v>
      </c>
      <c r="C18" s="90">
        <v>2441</v>
      </c>
      <c r="D18">
        <v>0</v>
      </c>
      <c r="E18" s="90">
        <v>12664</v>
      </c>
      <c r="F18">
        <v>0</v>
      </c>
      <c r="G18">
        <v>0</v>
      </c>
      <c r="H18">
        <v>0</v>
      </c>
      <c r="I18" s="90">
        <v>15105</v>
      </c>
    </row>
    <row r="20" spans="2:9">
      <c r="B20">
        <v>252</v>
      </c>
      <c r="C20" s="90">
        <v>89130.5</v>
      </c>
      <c r="D20">
        <v>-77</v>
      </c>
      <c r="E20" s="90">
        <v>-89053.5</v>
      </c>
      <c r="F20">
        <v>0</v>
      </c>
      <c r="G20">
        <v>0</v>
      </c>
      <c r="H20">
        <v>0</v>
      </c>
      <c r="I20">
        <v>0</v>
      </c>
    </row>
    <row r="22" spans="2:9">
      <c r="B22">
        <v>26647</v>
      </c>
      <c r="C22" s="90">
        <v>31654</v>
      </c>
      <c r="D22">
        <v>0</v>
      </c>
      <c r="E22" s="90">
        <v>-25684</v>
      </c>
      <c r="F22">
        <v>0</v>
      </c>
      <c r="G22">
        <v>0</v>
      </c>
      <c r="H22">
        <v>0</v>
      </c>
      <c r="I22" s="90">
        <v>5970</v>
      </c>
    </row>
    <row r="24" spans="2:9">
      <c r="B24">
        <v>26668</v>
      </c>
      <c r="C24">
        <v>0</v>
      </c>
      <c r="D24">
        <v>0</v>
      </c>
      <c r="E24">
        <v>15</v>
      </c>
      <c r="F24">
        <v>0</v>
      </c>
      <c r="G24">
        <v>0</v>
      </c>
      <c r="H24">
        <v>15</v>
      </c>
      <c r="I24">
        <v>0</v>
      </c>
    </row>
    <row r="26" spans="2:9">
      <c r="B26">
        <v>26672</v>
      </c>
      <c r="C26" s="90">
        <v>81401</v>
      </c>
      <c r="D26">
        <v>0</v>
      </c>
      <c r="E26" s="90">
        <v>256509</v>
      </c>
      <c r="F26" s="90">
        <v>289559</v>
      </c>
      <c r="G26">
        <v>0</v>
      </c>
      <c r="H26">
        <v>183</v>
      </c>
      <c r="I26" s="90">
        <v>48168</v>
      </c>
    </row>
    <row r="28" spans="2:9">
      <c r="B28">
        <v>26797</v>
      </c>
      <c r="C28" s="90">
        <v>118554</v>
      </c>
      <c r="D28" s="90">
        <v>50000</v>
      </c>
      <c r="E28" s="90">
        <v>472271.5</v>
      </c>
      <c r="F28" s="90">
        <v>510169</v>
      </c>
      <c r="G28">
        <v>0</v>
      </c>
      <c r="H28">
        <v>846.5</v>
      </c>
      <c r="I28" s="90">
        <v>129810</v>
      </c>
    </row>
    <row r="30" spans="2:9">
      <c r="B30">
        <v>26858</v>
      </c>
      <c r="C30" s="90">
        <v>118231.5</v>
      </c>
      <c r="D30">
        <v>0</v>
      </c>
      <c r="E30" s="90">
        <v>667186.5</v>
      </c>
      <c r="F30" s="90">
        <v>662580.5</v>
      </c>
      <c r="G30">
        <v>0</v>
      </c>
      <c r="H30">
        <v>0</v>
      </c>
      <c r="I30" s="90">
        <v>122837.5</v>
      </c>
    </row>
    <row r="32" spans="2:9">
      <c r="B32">
        <v>27101</v>
      </c>
      <c r="C32" s="90">
        <v>107106.5</v>
      </c>
      <c r="D32">
        <v>0</v>
      </c>
      <c r="E32" s="90">
        <v>1367986.5</v>
      </c>
      <c r="F32" s="90">
        <v>1317893.5</v>
      </c>
      <c r="G32">
        <v>0</v>
      </c>
      <c r="H32">
        <v>-599.5</v>
      </c>
      <c r="I32" s="90">
        <v>157799</v>
      </c>
    </row>
    <row r="34" spans="2:9">
      <c r="B34">
        <v>280</v>
      </c>
      <c r="C34" s="90">
        <v>765766.5</v>
      </c>
      <c r="D34" s="90">
        <v>3454521.5</v>
      </c>
      <c r="E34" s="90">
        <v>-3441366</v>
      </c>
      <c r="F34">
        <v>0</v>
      </c>
      <c r="G34">
        <v>0</v>
      </c>
      <c r="H34" s="90">
        <v>1578</v>
      </c>
      <c r="I34" s="90">
        <v>777344</v>
      </c>
    </row>
    <row r="36" spans="2:9">
      <c r="B36">
        <v>306</v>
      </c>
      <c r="C36" s="90">
        <v>7497</v>
      </c>
      <c r="D36">
        <v>0</v>
      </c>
      <c r="E36" s="90">
        <v>66250.5</v>
      </c>
      <c r="F36" s="90">
        <v>49818.5</v>
      </c>
      <c r="G36">
        <v>0</v>
      </c>
      <c r="H36">
        <v>128</v>
      </c>
      <c r="I36" s="90">
        <v>23800.5</v>
      </c>
    </row>
    <row r="38" spans="2:9">
      <c r="B38">
        <v>319</v>
      </c>
      <c r="C38">
        <v>350</v>
      </c>
      <c r="D38">
        <v>0</v>
      </c>
      <c r="E38">
        <v>0</v>
      </c>
      <c r="F38">
        <v>0</v>
      </c>
      <c r="G38">
        <v>0</v>
      </c>
      <c r="H38">
        <v>0</v>
      </c>
      <c r="I38">
        <v>350</v>
      </c>
    </row>
    <row r="40" spans="2:9">
      <c r="B40">
        <v>3300</v>
      </c>
      <c r="C40">
        <v>465</v>
      </c>
      <c r="D40">
        <v>0</v>
      </c>
      <c r="E40">
        <v>33</v>
      </c>
      <c r="F40">
        <v>0</v>
      </c>
      <c r="G40">
        <v>0</v>
      </c>
      <c r="H40">
        <v>0</v>
      </c>
      <c r="I40">
        <v>498.5</v>
      </c>
    </row>
    <row r="42" spans="2:9">
      <c r="B42">
        <v>34201</v>
      </c>
      <c r="C42" s="90">
        <v>43052.5</v>
      </c>
      <c r="D42">
        <v>0</v>
      </c>
      <c r="E42">
        <v>-296.5</v>
      </c>
      <c r="F42">
        <v>0</v>
      </c>
      <c r="G42">
        <v>0</v>
      </c>
      <c r="H42">
        <v>0</v>
      </c>
      <c r="I42" s="90">
        <v>42756</v>
      </c>
    </row>
    <row r="44" spans="2:9">
      <c r="B44">
        <v>34203</v>
      </c>
      <c r="C44" s="90">
        <v>12225</v>
      </c>
      <c r="D44">
        <v>0</v>
      </c>
      <c r="E44" s="90">
        <v>68579</v>
      </c>
      <c r="F44" s="90">
        <v>28025</v>
      </c>
      <c r="G44">
        <v>0</v>
      </c>
      <c r="H44">
        <v>0</v>
      </c>
      <c r="I44" s="90">
        <v>52779</v>
      </c>
    </row>
    <row r="46" spans="2:9">
      <c r="B46">
        <v>34214</v>
      </c>
      <c r="C46" s="90">
        <v>17730.5</v>
      </c>
      <c r="D46">
        <v>0</v>
      </c>
      <c r="E46" s="90">
        <v>-4267.5</v>
      </c>
      <c r="F46">
        <v>0</v>
      </c>
      <c r="G46">
        <v>0</v>
      </c>
      <c r="H46">
        <v>0</v>
      </c>
      <c r="I46" s="90">
        <v>13463</v>
      </c>
    </row>
    <row r="48" spans="2:9">
      <c r="B48">
        <v>351</v>
      </c>
      <c r="C48" s="90">
        <v>28670</v>
      </c>
      <c r="D48" s="90">
        <v>87500</v>
      </c>
      <c r="E48" s="90">
        <v>584016.5</v>
      </c>
      <c r="F48" s="90">
        <v>564150</v>
      </c>
      <c r="G48">
        <v>0</v>
      </c>
      <c r="H48">
        <v>955</v>
      </c>
      <c r="I48" s="90">
        <v>135081</v>
      </c>
    </row>
    <row r="50" spans="2:9">
      <c r="B50">
        <v>36515</v>
      </c>
      <c r="C50" s="90">
        <v>126544</v>
      </c>
      <c r="D50">
        <v>0</v>
      </c>
      <c r="E50" s="90">
        <v>-9933.5</v>
      </c>
      <c r="F50">
        <v>0</v>
      </c>
      <c r="G50">
        <v>0</v>
      </c>
      <c r="H50">
        <v>0</v>
      </c>
      <c r="I50" s="90">
        <v>116610.5</v>
      </c>
    </row>
    <row r="52" spans="2:9">
      <c r="B52">
        <v>402</v>
      </c>
      <c r="C52">
        <v>38.5</v>
      </c>
      <c r="D52">
        <v>0</v>
      </c>
      <c r="E52">
        <v>0</v>
      </c>
      <c r="F52">
        <v>0</v>
      </c>
      <c r="G52">
        <v>0</v>
      </c>
      <c r="H52">
        <v>0</v>
      </c>
      <c r="I52">
        <v>38.5</v>
      </c>
    </row>
    <row r="54" spans="2:9">
      <c r="B54">
        <v>410</v>
      </c>
      <c r="C54">
        <v>0</v>
      </c>
      <c r="D54" s="90">
        <v>129281</v>
      </c>
      <c r="E54" s="90">
        <v>-77591</v>
      </c>
      <c r="F54" s="90">
        <v>51690</v>
      </c>
      <c r="G54">
        <v>0</v>
      </c>
      <c r="H54">
        <v>0</v>
      </c>
      <c r="I54">
        <v>0</v>
      </c>
    </row>
    <row r="56" spans="2:9">
      <c r="B56">
        <v>41055</v>
      </c>
      <c r="C56">
        <v>0</v>
      </c>
      <c r="D56">
        <v>0</v>
      </c>
      <c r="E56" s="90">
        <v>49816.5</v>
      </c>
      <c r="F56" s="90">
        <v>49816.5</v>
      </c>
      <c r="G56">
        <v>0</v>
      </c>
      <c r="H56">
        <v>0</v>
      </c>
      <c r="I56">
        <v>0</v>
      </c>
    </row>
    <row r="58" spans="2:9">
      <c r="B58">
        <v>41315</v>
      </c>
      <c r="C58" s="90">
        <v>137264</v>
      </c>
      <c r="D58">
        <v>0</v>
      </c>
      <c r="E58" s="90">
        <v>670784</v>
      </c>
      <c r="F58" s="90">
        <v>765977</v>
      </c>
      <c r="G58">
        <v>0</v>
      </c>
      <c r="H58">
        <v>0</v>
      </c>
      <c r="I58" s="90">
        <v>42071</v>
      </c>
    </row>
    <row r="60" spans="2:9">
      <c r="B60">
        <v>41430</v>
      </c>
      <c r="C60" s="90">
        <v>24180</v>
      </c>
      <c r="D60" s="90">
        <v>250457.5</v>
      </c>
      <c r="E60" s="90">
        <v>-238111.5</v>
      </c>
      <c r="F60">
        <v>0</v>
      </c>
      <c r="G60">
        <v>0</v>
      </c>
      <c r="H60">
        <v>-346.5</v>
      </c>
      <c r="I60" s="90">
        <v>36872</v>
      </c>
    </row>
    <row r="62" spans="2:9">
      <c r="B62">
        <v>41604</v>
      </c>
      <c r="C62" s="90">
        <v>13507.5</v>
      </c>
      <c r="D62">
        <v>0</v>
      </c>
      <c r="E62" s="90">
        <v>1174</v>
      </c>
      <c r="F62">
        <v>0</v>
      </c>
      <c r="G62">
        <v>0</v>
      </c>
      <c r="H62">
        <v>0</v>
      </c>
      <c r="I62" s="90">
        <v>14681.5</v>
      </c>
    </row>
    <row r="64" spans="2:9">
      <c r="B64">
        <v>429</v>
      </c>
      <c r="C64">
        <v>0</v>
      </c>
      <c r="D64">
        <v>0</v>
      </c>
      <c r="E64" s="90">
        <v>19810.5</v>
      </c>
      <c r="F64" s="90">
        <v>19810.5</v>
      </c>
      <c r="G64">
        <v>0</v>
      </c>
      <c r="H64">
        <v>0</v>
      </c>
      <c r="I64">
        <v>0</v>
      </c>
    </row>
    <row r="66" spans="2:9">
      <c r="B66">
        <v>50029</v>
      </c>
      <c r="C66" s="90">
        <v>3695</v>
      </c>
      <c r="D66" s="90">
        <v>498451</v>
      </c>
      <c r="E66" s="90">
        <v>-234633</v>
      </c>
      <c r="F66">
        <v>0</v>
      </c>
      <c r="G66">
        <v>0</v>
      </c>
      <c r="H66">
        <v>0</v>
      </c>
      <c r="I66" s="90">
        <v>267513</v>
      </c>
    </row>
    <row r="68" spans="2:9">
      <c r="B68">
        <v>50351</v>
      </c>
      <c r="C68" s="90">
        <v>36450</v>
      </c>
      <c r="D68">
        <v>0</v>
      </c>
      <c r="E68">
        <v>268.5</v>
      </c>
      <c r="F68">
        <v>0</v>
      </c>
      <c r="G68">
        <v>0</v>
      </c>
      <c r="H68">
        <v>0</v>
      </c>
      <c r="I68" s="90">
        <v>36718.5</v>
      </c>
    </row>
    <row r="70" spans="2:9">
      <c r="B70">
        <v>50360</v>
      </c>
      <c r="C70" s="90">
        <v>30319.5</v>
      </c>
      <c r="D70">
        <v>0</v>
      </c>
      <c r="E70" s="90">
        <v>48607</v>
      </c>
      <c r="F70" s="90">
        <v>24617</v>
      </c>
      <c r="G70">
        <v>0</v>
      </c>
      <c r="H70">
        <v>0</v>
      </c>
      <c r="I70" s="90">
        <v>54309</v>
      </c>
    </row>
    <row r="72" spans="2:9">
      <c r="B72">
        <v>50362</v>
      </c>
      <c r="C72" s="90">
        <v>45388.5</v>
      </c>
      <c r="D72">
        <v>0</v>
      </c>
      <c r="E72" s="90">
        <v>-8054</v>
      </c>
      <c r="F72">
        <v>0</v>
      </c>
      <c r="G72">
        <v>0</v>
      </c>
      <c r="H72">
        <v>0</v>
      </c>
      <c r="I72" s="90">
        <v>37334.5</v>
      </c>
    </row>
    <row r="74" spans="2:9">
      <c r="B74">
        <v>50364</v>
      </c>
      <c r="C74" s="90">
        <v>47801</v>
      </c>
      <c r="D74">
        <v>0</v>
      </c>
      <c r="E74" s="90">
        <v>17523</v>
      </c>
      <c r="F74">
        <v>0</v>
      </c>
      <c r="G74">
        <v>0</v>
      </c>
      <c r="H74">
        <v>0</v>
      </c>
      <c r="I74" s="90">
        <v>65324</v>
      </c>
    </row>
    <row r="76" spans="2:9">
      <c r="B76">
        <v>646</v>
      </c>
      <c r="C76">
        <v>0</v>
      </c>
      <c r="D76">
        <v>0</v>
      </c>
      <c r="E76" s="90">
        <v>198676</v>
      </c>
      <c r="F76" s="90">
        <v>147684</v>
      </c>
      <c r="G76">
        <v>0</v>
      </c>
      <c r="H76">
        <v>115</v>
      </c>
      <c r="I76" s="90">
        <v>50877</v>
      </c>
    </row>
    <row r="78" spans="2:9">
      <c r="B78">
        <v>6819</v>
      </c>
      <c r="C78" s="90">
        <v>6172</v>
      </c>
      <c r="D78">
        <v>0</v>
      </c>
      <c r="E78">
        <v>12.5</v>
      </c>
      <c r="F78">
        <v>0</v>
      </c>
      <c r="G78">
        <v>0</v>
      </c>
      <c r="H78">
        <v>0</v>
      </c>
      <c r="I78" s="90">
        <v>6184.5</v>
      </c>
    </row>
    <row r="80" spans="2:9">
      <c r="B80">
        <v>8021</v>
      </c>
      <c r="C80" s="90">
        <v>21565</v>
      </c>
      <c r="D80">
        <v>0</v>
      </c>
      <c r="E80">
        <v>-239.5</v>
      </c>
      <c r="F80">
        <v>0</v>
      </c>
      <c r="G80">
        <v>0</v>
      </c>
      <c r="H80">
        <v>0</v>
      </c>
      <c r="I80" s="90">
        <v>21326</v>
      </c>
    </row>
    <row r="82" spans="2:9">
      <c r="B82">
        <v>8030</v>
      </c>
      <c r="C82" s="90">
        <v>34580</v>
      </c>
      <c r="D82">
        <v>0</v>
      </c>
      <c r="E82" s="90">
        <v>-15211</v>
      </c>
      <c r="F82">
        <v>0</v>
      </c>
      <c r="G82">
        <v>0</v>
      </c>
      <c r="H82">
        <v>0</v>
      </c>
      <c r="I82" s="90">
        <v>19369</v>
      </c>
    </row>
    <row r="84" spans="2:9">
      <c r="B84">
        <v>804</v>
      </c>
      <c r="C84" s="90">
        <v>19682</v>
      </c>
      <c r="D84">
        <v>0</v>
      </c>
      <c r="E84">
        <v>792</v>
      </c>
      <c r="F84">
        <v>0</v>
      </c>
      <c r="G84">
        <v>0</v>
      </c>
      <c r="H84">
        <v>0</v>
      </c>
      <c r="I84" s="90">
        <v>20474</v>
      </c>
    </row>
    <row r="86" spans="2:9">
      <c r="B86">
        <v>8048</v>
      </c>
      <c r="C86">
        <v>0</v>
      </c>
      <c r="D86">
        <v>0</v>
      </c>
      <c r="E86" s="90">
        <v>26504</v>
      </c>
      <c r="F86" s="90">
        <v>26504</v>
      </c>
      <c r="G86">
        <v>0</v>
      </c>
      <c r="H86">
        <v>0</v>
      </c>
      <c r="I86">
        <v>0</v>
      </c>
    </row>
    <row r="88" spans="2:9">
      <c r="B88">
        <v>8060</v>
      </c>
      <c r="C88" s="90">
        <v>42997</v>
      </c>
      <c r="D88">
        <v>0</v>
      </c>
      <c r="E88" s="90">
        <v>17657</v>
      </c>
      <c r="F88">
        <v>0</v>
      </c>
      <c r="G88">
        <v>0</v>
      </c>
      <c r="H88">
        <v>0</v>
      </c>
      <c r="I88" s="90">
        <v>60654</v>
      </c>
    </row>
    <row r="90" spans="2:9">
      <c r="B90">
        <v>8088</v>
      </c>
      <c r="C90">
        <v>216</v>
      </c>
      <c r="D90">
        <v>0</v>
      </c>
      <c r="E90">
        <v>0</v>
      </c>
      <c r="F90">
        <v>0</v>
      </c>
      <c r="G90">
        <v>0</v>
      </c>
      <c r="H90">
        <v>0</v>
      </c>
      <c r="I90">
        <v>216</v>
      </c>
    </row>
    <row r="92" spans="2:9">
      <c r="B92">
        <v>8113</v>
      </c>
      <c r="C92" s="90">
        <v>120828</v>
      </c>
      <c r="D92">
        <v>0</v>
      </c>
      <c r="E92" s="90">
        <v>-22096.5</v>
      </c>
      <c r="F92">
        <v>0</v>
      </c>
      <c r="G92">
        <v>0</v>
      </c>
      <c r="H92">
        <v>0</v>
      </c>
      <c r="I92" s="90">
        <v>98731.5</v>
      </c>
    </row>
    <row r="94" spans="2:9">
      <c r="B94">
        <v>8152</v>
      </c>
      <c r="C94" s="90">
        <v>13426.5</v>
      </c>
      <c r="D94">
        <v>0</v>
      </c>
      <c r="E94" s="90">
        <v>15643.5</v>
      </c>
      <c r="F94">
        <v>0</v>
      </c>
      <c r="G94">
        <v>0</v>
      </c>
      <c r="H94">
        <v>0</v>
      </c>
      <c r="I94" s="90">
        <v>29069.5</v>
      </c>
    </row>
    <row r="96" spans="2:9">
      <c r="B96">
        <v>8160</v>
      </c>
      <c r="C96" s="90">
        <v>5151</v>
      </c>
      <c r="D96">
        <v>0</v>
      </c>
      <c r="E96">
        <v>-409</v>
      </c>
      <c r="F96">
        <v>0</v>
      </c>
      <c r="G96">
        <v>0</v>
      </c>
      <c r="H96">
        <v>0</v>
      </c>
      <c r="I96" s="90">
        <v>4742</v>
      </c>
    </row>
    <row r="98" spans="2:9">
      <c r="B98">
        <v>8162</v>
      </c>
      <c r="C98" s="90">
        <v>6783</v>
      </c>
      <c r="D98" s="90">
        <v>38895.5</v>
      </c>
      <c r="E98" s="90">
        <v>-39717</v>
      </c>
      <c r="F98">
        <v>0</v>
      </c>
      <c r="G98">
        <v>0</v>
      </c>
      <c r="H98">
        <v>0</v>
      </c>
      <c r="I98" s="90">
        <v>5961.5</v>
      </c>
    </row>
    <row r="100" spans="2:9">
      <c r="B100">
        <v>8200</v>
      </c>
      <c r="C100" s="90">
        <v>12997.5</v>
      </c>
      <c r="D100">
        <v>0</v>
      </c>
      <c r="E100" s="90">
        <v>-4660.5</v>
      </c>
      <c r="F100">
        <v>0</v>
      </c>
      <c r="G100">
        <v>0</v>
      </c>
      <c r="H100">
        <v>0</v>
      </c>
      <c r="I100" s="90">
        <v>8337</v>
      </c>
    </row>
    <row r="102" spans="2:9">
      <c r="B102">
        <v>82396</v>
      </c>
      <c r="C102" s="90">
        <v>640436.5</v>
      </c>
      <c r="D102" s="90">
        <v>249943</v>
      </c>
      <c r="E102" s="90">
        <v>-613657</v>
      </c>
      <c r="F102">
        <v>0</v>
      </c>
      <c r="G102">
        <v>0</v>
      </c>
      <c r="H102">
        <v>0</v>
      </c>
      <c r="I102" s="90">
        <v>276723</v>
      </c>
    </row>
    <row r="104" spans="2:9">
      <c r="B104">
        <v>8240</v>
      </c>
      <c r="C104" s="90">
        <v>37047</v>
      </c>
      <c r="D104">
        <v>0</v>
      </c>
      <c r="E104" s="90">
        <v>4578</v>
      </c>
      <c r="F104">
        <v>0</v>
      </c>
      <c r="G104">
        <v>0</v>
      </c>
      <c r="H104">
        <v>0</v>
      </c>
      <c r="I104" s="90">
        <v>41625</v>
      </c>
    </row>
    <row r="106" spans="2:9">
      <c r="B106">
        <v>8605</v>
      </c>
      <c r="C106" s="90">
        <v>9242</v>
      </c>
      <c r="D106">
        <v>0</v>
      </c>
      <c r="E106" s="90">
        <v>9965.5</v>
      </c>
      <c r="F106">
        <v>0</v>
      </c>
      <c r="G106">
        <v>0</v>
      </c>
      <c r="H106">
        <v>0</v>
      </c>
      <c r="I106" s="90">
        <v>19207</v>
      </c>
    </row>
    <row r="108" spans="2:9">
      <c r="B108">
        <v>863</v>
      </c>
      <c r="C108">
        <v>0</v>
      </c>
      <c r="D108" s="90">
        <v>39772</v>
      </c>
      <c r="E108" s="90">
        <v>-39772</v>
      </c>
      <c r="F108">
        <v>0</v>
      </c>
      <c r="G108">
        <v>0</v>
      </c>
      <c r="H108">
        <v>0</v>
      </c>
      <c r="I108">
        <v>0</v>
      </c>
    </row>
    <row r="110" spans="2:9">
      <c r="B110">
        <v>866</v>
      </c>
      <c r="C110" s="90">
        <v>725913.5</v>
      </c>
      <c r="D110">
        <v>0</v>
      </c>
      <c r="E110" s="90">
        <v>377993.5</v>
      </c>
      <c r="F110" s="90">
        <v>678322.5</v>
      </c>
      <c r="G110">
        <v>0</v>
      </c>
      <c r="H110" s="90">
        <v>11339.5</v>
      </c>
      <c r="I110" s="90">
        <v>414245</v>
      </c>
    </row>
    <row r="112" spans="2:9">
      <c r="B112">
        <v>86666</v>
      </c>
      <c r="C112" s="90">
        <v>50784</v>
      </c>
      <c r="D112">
        <v>0</v>
      </c>
      <c r="E112" s="90">
        <v>2085</v>
      </c>
      <c r="F112">
        <v>0</v>
      </c>
      <c r="G112">
        <v>0</v>
      </c>
      <c r="H112">
        <v>0</v>
      </c>
      <c r="I112" s="90">
        <v>52869</v>
      </c>
    </row>
    <row r="114" spans="2:9">
      <c r="B114">
        <v>8679</v>
      </c>
      <c r="C114" s="90">
        <v>86422.5</v>
      </c>
      <c r="D114">
        <v>0</v>
      </c>
      <c r="E114" s="90">
        <v>-31323.5</v>
      </c>
      <c r="F114">
        <v>0</v>
      </c>
      <c r="G114">
        <v>0</v>
      </c>
      <c r="H114">
        <v>0</v>
      </c>
      <c r="I114" s="90">
        <v>55098.5</v>
      </c>
    </row>
    <row r="116" spans="2:9">
      <c r="B116">
        <v>87035</v>
      </c>
      <c r="C116">
        <v>0</v>
      </c>
      <c r="D116">
        <v>0</v>
      </c>
      <c r="E116" s="90">
        <v>38846</v>
      </c>
      <c r="F116" s="90">
        <v>38846</v>
      </c>
      <c r="G116">
        <v>0</v>
      </c>
      <c r="H116">
        <v>0</v>
      </c>
      <c r="I116">
        <v>0</v>
      </c>
    </row>
    <row r="118" spans="2:9">
      <c r="B118">
        <v>87040</v>
      </c>
      <c r="C118">
        <v>0</v>
      </c>
      <c r="D118">
        <v>0</v>
      </c>
      <c r="E118" s="90">
        <v>159274.5</v>
      </c>
      <c r="F118" s="90">
        <v>159274.5</v>
      </c>
      <c r="G118">
        <v>0</v>
      </c>
      <c r="H118">
        <v>0</v>
      </c>
      <c r="I118">
        <v>0</v>
      </c>
    </row>
    <row r="120" spans="2:9">
      <c r="B120">
        <v>87045</v>
      </c>
      <c r="C120">
        <v>0</v>
      </c>
      <c r="D120" s="90">
        <v>6705</v>
      </c>
      <c r="E120" s="90">
        <v>-6705</v>
      </c>
      <c r="F120">
        <v>0</v>
      </c>
      <c r="G120">
        <v>0</v>
      </c>
      <c r="H120">
        <v>0</v>
      </c>
      <c r="I120">
        <v>0</v>
      </c>
    </row>
    <row r="122" spans="2:9">
      <c r="B122">
        <v>8708</v>
      </c>
      <c r="C122" s="90">
        <v>44151</v>
      </c>
      <c r="D122">
        <v>0</v>
      </c>
      <c r="E122" s="90">
        <v>52086</v>
      </c>
      <c r="F122" s="90">
        <v>71736.5</v>
      </c>
      <c r="G122">
        <v>0</v>
      </c>
      <c r="H122">
        <v>0</v>
      </c>
      <c r="I122" s="90">
        <v>24500</v>
      </c>
    </row>
    <row r="124" spans="2:9">
      <c r="B124">
        <v>8709</v>
      </c>
      <c r="C124" s="90">
        <v>95578</v>
      </c>
      <c r="D124">
        <v>0</v>
      </c>
      <c r="E124" s="90">
        <v>-1910.5</v>
      </c>
      <c r="F124">
        <v>0</v>
      </c>
      <c r="G124">
        <v>0</v>
      </c>
      <c r="H124">
        <v>0</v>
      </c>
      <c r="I124" s="90">
        <v>93668</v>
      </c>
    </row>
    <row r="126" spans="2:9">
      <c r="B126">
        <v>8712</v>
      </c>
      <c r="C126" s="90">
        <v>48466.5</v>
      </c>
      <c r="D126">
        <v>0</v>
      </c>
      <c r="E126" s="90">
        <v>16148.5</v>
      </c>
      <c r="F126" s="90">
        <v>22528</v>
      </c>
      <c r="G126">
        <v>0</v>
      </c>
      <c r="H126">
        <v>93.5</v>
      </c>
      <c r="I126" s="90">
        <v>41993</v>
      </c>
    </row>
    <row r="128" spans="2:9">
      <c r="B128">
        <v>8720</v>
      </c>
      <c r="C128" s="90">
        <v>47005.5</v>
      </c>
      <c r="D128">
        <v>0</v>
      </c>
      <c r="E128" s="90">
        <v>-8861</v>
      </c>
      <c r="F128">
        <v>0</v>
      </c>
      <c r="G128">
        <v>0</v>
      </c>
      <c r="H128">
        <v>0</v>
      </c>
      <c r="I128" s="90">
        <v>38144.5</v>
      </c>
    </row>
    <row r="130" spans="2:9">
      <c r="B130">
        <v>8737</v>
      </c>
      <c r="C130" s="90">
        <v>14369</v>
      </c>
      <c r="D130">
        <v>0</v>
      </c>
      <c r="E130" s="90">
        <v>1139</v>
      </c>
      <c r="F130">
        <v>0</v>
      </c>
      <c r="G130">
        <v>0</v>
      </c>
      <c r="H130">
        <v>0</v>
      </c>
      <c r="I130" s="90">
        <v>15508</v>
      </c>
    </row>
    <row r="132" spans="2:9">
      <c r="B132">
        <v>8745</v>
      </c>
      <c r="C132" s="90">
        <v>17451</v>
      </c>
      <c r="D132">
        <v>0</v>
      </c>
      <c r="E132" s="90">
        <v>-4432</v>
      </c>
      <c r="F132">
        <v>0</v>
      </c>
      <c r="G132">
        <v>0</v>
      </c>
      <c r="H132">
        <v>0</v>
      </c>
      <c r="I132" s="90">
        <v>13019</v>
      </c>
    </row>
    <row r="134" spans="2:9">
      <c r="B134">
        <v>87466</v>
      </c>
      <c r="C134">
        <v>0</v>
      </c>
      <c r="D134" s="90">
        <v>99970</v>
      </c>
      <c r="E134" s="90">
        <v>-99970</v>
      </c>
      <c r="F134">
        <v>0</v>
      </c>
      <c r="G134">
        <v>0</v>
      </c>
      <c r="H134">
        <v>0</v>
      </c>
      <c r="I134">
        <v>0</v>
      </c>
    </row>
    <row r="136" spans="2:9">
      <c r="B136">
        <v>87476</v>
      </c>
      <c r="C136">
        <v>0</v>
      </c>
      <c r="D136">
        <v>0</v>
      </c>
      <c r="E136" s="90">
        <v>2599</v>
      </c>
      <c r="F136" s="90">
        <v>2599</v>
      </c>
      <c r="G136">
        <v>0</v>
      </c>
      <c r="H136">
        <v>0</v>
      </c>
      <c r="I136">
        <v>0</v>
      </c>
    </row>
    <row r="138" spans="2:9">
      <c r="B138">
        <v>87501</v>
      </c>
      <c r="C138">
        <v>0</v>
      </c>
      <c r="D138">
        <v>0</v>
      </c>
      <c r="E138">
        <v>121.5</v>
      </c>
      <c r="F138">
        <v>121.5</v>
      </c>
      <c r="G138">
        <v>0</v>
      </c>
      <c r="H138">
        <v>0</v>
      </c>
      <c r="I138">
        <v>0</v>
      </c>
    </row>
    <row r="140" spans="2:9">
      <c r="B140">
        <v>87546</v>
      </c>
      <c r="C140">
        <v>0</v>
      </c>
      <c r="D140">
        <v>188.5</v>
      </c>
      <c r="E140">
        <v>-188.5</v>
      </c>
      <c r="F140">
        <v>0</v>
      </c>
      <c r="G140">
        <v>0</v>
      </c>
      <c r="H140">
        <v>0</v>
      </c>
      <c r="I140">
        <v>0</v>
      </c>
    </row>
    <row r="142" spans="2:9">
      <c r="B142">
        <v>87547</v>
      </c>
      <c r="C142">
        <v>0</v>
      </c>
      <c r="D142" s="90">
        <v>83909</v>
      </c>
      <c r="E142" s="90">
        <v>-83909</v>
      </c>
      <c r="F142">
        <v>0</v>
      </c>
      <c r="G142">
        <v>0</v>
      </c>
      <c r="H142">
        <v>0</v>
      </c>
      <c r="I142">
        <v>0</v>
      </c>
    </row>
    <row r="144" spans="2:9">
      <c r="B144">
        <v>87548</v>
      </c>
      <c r="C144">
        <v>0</v>
      </c>
      <c r="D144" s="90">
        <v>30004.5</v>
      </c>
      <c r="E144" s="90">
        <v>-30004.5</v>
      </c>
      <c r="F144">
        <v>0</v>
      </c>
      <c r="G144">
        <v>0</v>
      </c>
      <c r="H144">
        <v>0</v>
      </c>
      <c r="I144">
        <v>0</v>
      </c>
    </row>
    <row r="146" spans="2:9">
      <c r="B146">
        <v>87555</v>
      </c>
      <c r="C146">
        <v>0</v>
      </c>
      <c r="D146" s="90">
        <v>22111.5</v>
      </c>
      <c r="E146" s="90">
        <v>-22111.5</v>
      </c>
      <c r="F146">
        <v>0</v>
      </c>
      <c r="G146">
        <v>0</v>
      </c>
      <c r="H146">
        <v>0</v>
      </c>
      <c r="I146">
        <v>0</v>
      </c>
    </row>
    <row r="148" spans="2:9">
      <c r="B148">
        <v>87574</v>
      </c>
      <c r="C148">
        <v>0</v>
      </c>
      <c r="D148">
        <v>0</v>
      </c>
      <c r="E148" s="90">
        <v>287251</v>
      </c>
      <c r="F148" s="90">
        <v>287251</v>
      </c>
      <c r="G148">
        <v>0</v>
      </c>
      <c r="H148">
        <v>0</v>
      </c>
      <c r="I148">
        <v>0</v>
      </c>
    </row>
    <row r="150" spans="2:9">
      <c r="B150">
        <v>87591</v>
      </c>
      <c r="C150">
        <v>0</v>
      </c>
      <c r="D150">
        <v>0</v>
      </c>
      <c r="E150" s="90">
        <v>5789</v>
      </c>
      <c r="F150" s="90">
        <v>5789</v>
      </c>
      <c r="G150">
        <v>0</v>
      </c>
      <c r="H150">
        <v>0</v>
      </c>
      <c r="I150">
        <v>0</v>
      </c>
    </row>
    <row r="152" spans="2:9">
      <c r="B152">
        <v>87604</v>
      </c>
      <c r="C152">
        <v>0</v>
      </c>
      <c r="D152" s="90">
        <v>20381</v>
      </c>
      <c r="E152" s="90">
        <v>-20381</v>
      </c>
      <c r="F152">
        <v>0</v>
      </c>
      <c r="G152">
        <v>0</v>
      </c>
      <c r="H152">
        <v>0</v>
      </c>
      <c r="I152">
        <v>0</v>
      </c>
    </row>
    <row r="154" spans="2:9">
      <c r="B154">
        <v>87640</v>
      </c>
      <c r="C154">
        <v>0</v>
      </c>
      <c r="D154">
        <v>0</v>
      </c>
      <c r="E154" s="90">
        <v>55998</v>
      </c>
      <c r="F154" s="90">
        <v>55998</v>
      </c>
      <c r="G154">
        <v>0</v>
      </c>
      <c r="H154">
        <v>0</v>
      </c>
      <c r="I154">
        <v>0</v>
      </c>
    </row>
    <row r="156" spans="2:9">
      <c r="B156">
        <v>87644</v>
      </c>
      <c r="C156">
        <v>0</v>
      </c>
      <c r="D156" s="90">
        <v>20404.5</v>
      </c>
      <c r="E156" s="90">
        <v>-20404.5</v>
      </c>
      <c r="F156">
        <v>0</v>
      </c>
      <c r="G156">
        <v>0</v>
      </c>
      <c r="H156">
        <v>0</v>
      </c>
      <c r="I156">
        <v>0</v>
      </c>
    </row>
    <row r="158" spans="2:9">
      <c r="B158">
        <v>87648</v>
      </c>
      <c r="C158">
        <v>0</v>
      </c>
      <c r="D158" s="90">
        <v>110719.5</v>
      </c>
      <c r="E158" s="90">
        <v>-110719.5</v>
      </c>
      <c r="F158">
        <v>0</v>
      </c>
      <c r="G158">
        <v>0</v>
      </c>
      <c r="H158">
        <v>0</v>
      </c>
      <c r="I158">
        <v>0</v>
      </c>
    </row>
    <row r="160" spans="2:9">
      <c r="B160">
        <v>87656</v>
      </c>
      <c r="C160">
        <v>0</v>
      </c>
      <c r="D160">
        <v>0</v>
      </c>
      <c r="E160" s="90">
        <v>32481</v>
      </c>
      <c r="F160" s="90">
        <v>32481</v>
      </c>
      <c r="G160">
        <v>0</v>
      </c>
      <c r="H160">
        <v>0</v>
      </c>
      <c r="I160">
        <v>0</v>
      </c>
    </row>
    <row r="162" spans="2:9">
      <c r="B162">
        <v>87669</v>
      </c>
      <c r="C162">
        <v>0</v>
      </c>
      <c r="D162">
        <v>0</v>
      </c>
      <c r="E162" s="90">
        <v>116578.5</v>
      </c>
      <c r="F162" s="90">
        <v>116578.5</v>
      </c>
      <c r="G162">
        <v>0</v>
      </c>
      <c r="H162">
        <v>0</v>
      </c>
      <c r="I162">
        <v>0</v>
      </c>
    </row>
    <row r="164" spans="2:9">
      <c r="B164">
        <v>8771</v>
      </c>
      <c r="C164" s="90">
        <v>16208.5</v>
      </c>
      <c r="D164">
        <v>0</v>
      </c>
      <c r="E164">
        <v>-886</v>
      </c>
      <c r="F164">
        <v>0</v>
      </c>
      <c r="G164">
        <v>0</v>
      </c>
      <c r="H164">
        <v>0</v>
      </c>
      <c r="I164" s="90">
        <v>15322.5</v>
      </c>
    </row>
    <row r="166" spans="2:9">
      <c r="B166">
        <v>87981</v>
      </c>
      <c r="C166">
        <v>0</v>
      </c>
      <c r="D166">
        <v>0</v>
      </c>
      <c r="E166" s="90">
        <v>6803.5</v>
      </c>
      <c r="F166" s="90">
        <v>6803.5</v>
      </c>
      <c r="G166">
        <v>0</v>
      </c>
      <c r="H166">
        <v>0</v>
      </c>
      <c r="I166">
        <v>0</v>
      </c>
    </row>
    <row r="168" spans="2:9">
      <c r="B168">
        <v>87990</v>
      </c>
      <c r="C168">
        <v>0</v>
      </c>
      <c r="D168" s="90">
        <v>120126.5</v>
      </c>
      <c r="E168" s="90">
        <v>-120126.5</v>
      </c>
      <c r="F168">
        <v>0</v>
      </c>
      <c r="G168">
        <v>0</v>
      </c>
      <c r="H168">
        <v>0</v>
      </c>
      <c r="I168">
        <v>0</v>
      </c>
    </row>
    <row r="170" spans="2:9">
      <c r="B170">
        <v>87992</v>
      </c>
      <c r="C170">
        <v>0</v>
      </c>
      <c r="D170" s="90">
        <v>9695</v>
      </c>
      <c r="E170" s="90">
        <v>-9695</v>
      </c>
      <c r="F170">
        <v>0</v>
      </c>
      <c r="G170">
        <v>0</v>
      </c>
      <c r="H170">
        <v>0</v>
      </c>
      <c r="I170">
        <v>0</v>
      </c>
    </row>
    <row r="172" spans="2:9">
      <c r="B172">
        <v>8949</v>
      </c>
      <c r="C172">
        <v>0</v>
      </c>
      <c r="D172" s="90">
        <v>30035.5</v>
      </c>
      <c r="E172" s="90">
        <v>-30035.5</v>
      </c>
      <c r="F172">
        <v>0</v>
      </c>
      <c r="G172">
        <v>0</v>
      </c>
      <c r="H172">
        <v>0</v>
      </c>
      <c r="I172">
        <v>0</v>
      </c>
    </row>
    <row r="174" spans="2:9">
      <c r="B174">
        <v>8951</v>
      </c>
      <c r="C174">
        <v>0</v>
      </c>
      <c r="D174">
        <v>0</v>
      </c>
      <c r="E174" s="90">
        <v>97919.5</v>
      </c>
      <c r="F174">
        <v>0</v>
      </c>
      <c r="G174">
        <v>0</v>
      </c>
      <c r="H174">
        <v>0</v>
      </c>
      <c r="I174">
        <v>0</v>
      </c>
    </row>
    <row r="176" spans="2:9">
      <c r="B176">
        <v>896</v>
      </c>
      <c r="C176" s="90">
        <v>3089</v>
      </c>
      <c r="D176">
        <v>0</v>
      </c>
      <c r="E176" s="90">
        <v>4330</v>
      </c>
      <c r="F176">
        <v>0</v>
      </c>
      <c r="G176">
        <v>0</v>
      </c>
      <c r="H176">
        <v>0</v>
      </c>
      <c r="I176" s="90">
        <v>7419</v>
      </c>
    </row>
    <row r="178" spans="2:9">
      <c r="B178">
        <v>918</v>
      </c>
      <c r="C178" s="90">
        <v>23304.5</v>
      </c>
      <c r="D178">
        <v>0</v>
      </c>
      <c r="E178" s="90">
        <v>15826.5</v>
      </c>
      <c r="F178">
        <v>0</v>
      </c>
      <c r="G178">
        <v>0</v>
      </c>
      <c r="H178">
        <v>0</v>
      </c>
      <c r="I178" s="90">
        <v>39131</v>
      </c>
    </row>
    <row r="180" spans="2:9">
      <c r="B180">
        <v>92000</v>
      </c>
      <c r="C180" s="90">
        <v>4180</v>
      </c>
      <c r="D180">
        <v>0</v>
      </c>
      <c r="E180" s="90">
        <v>78532</v>
      </c>
      <c r="F180" s="90">
        <v>77315</v>
      </c>
      <c r="G180">
        <v>0</v>
      </c>
      <c r="H180">
        <v>0</v>
      </c>
      <c r="I180" s="90">
        <v>5397</v>
      </c>
    </row>
    <row r="182" spans="2:9">
      <c r="B182">
        <v>92107</v>
      </c>
      <c r="C182" s="90">
        <v>14131.5</v>
      </c>
      <c r="D182">
        <v>0</v>
      </c>
      <c r="E182" s="90">
        <v>101350.5</v>
      </c>
      <c r="F182" s="90">
        <v>102328</v>
      </c>
      <c r="G182">
        <v>0</v>
      </c>
      <c r="H182">
        <v>0</v>
      </c>
      <c r="I182" s="90">
        <v>13154.5</v>
      </c>
    </row>
    <row r="184" spans="2:9">
      <c r="B184">
        <v>92550</v>
      </c>
      <c r="C184">
        <v>0</v>
      </c>
      <c r="D184">
        <v>0</v>
      </c>
      <c r="E184" s="90">
        <v>83611</v>
      </c>
      <c r="F184" s="90">
        <v>83611</v>
      </c>
      <c r="G184">
        <v>0</v>
      </c>
      <c r="H184">
        <v>0</v>
      </c>
      <c r="I184">
        <v>0</v>
      </c>
    </row>
    <row r="186" spans="2:9">
      <c r="B186">
        <v>92606</v>
      </c>
      <c r="C186" s="90">
        <v>22257.5</v>
      </c>
      <c r="D186" s="90">
        <v>52609</v>
      </c>
      <c r="E186" s="90">
        <v>-58494.5</v>
      </c>
      <c r="F186">
        <v>0</v>
      </c>
      <c r="G186">
        <v>0</v>
      </c>
      <c r="H186">
        <v>0</v>
      </c>
      <c r="I186" s="90">
        <v>16372.5</v>
      </c>
    </row>
    <row r="188" spans="2:9">
      <c r="C188" s="91">
        <f>SUM(C2:C186)</f>
        <v>4158279</v>
      </c>
      <c r="D188" s="91">
        <f t="shared" ref="D188:I188" si="0">SUM(D2:D186)</f>
        <v>5727615</v>
      </c>
      <c r="E188" s="91">
        <f t="shared" si="0"/>
        <v>401030.5</v>
      </c>
      <c r="F188" s="91">
        <f t="shared" si="0"/>
        <v>6316476</v>
      </c>
      <c r="G188" s="91">
        <f t="shared" si="0"/>
        <v>0</v>
      </c>
      <c r="H188" s="91">
        <f t="shared" si="0"/>
        <v>14307.5</v>
      </c>
      <c r="I188" s="91">
        <f t="shared" si="0"/>
        <v>3819530</v>
      </c>
    </row>
    <row r="189" spans="2:9">
      <c r="C189" s="91">
        <f>+Carga!B95</f>
        <v>4158279</v>
      </c>
      <c r="D189" s="91">
        <f>+Carga!C95</f>
        <v>5727615</v>
      </c>
      <c r="E189" s="91">
        <f>+Carga!D95</f>
        <v>401030.5</v>
      </c>
      <c r="F189" s="91">
        <f>+Carga!E95</f>
        <v>6316476</v>
      </c>
      <c r="G189" s="91">
        <f>+Carga!F95</f>
        <v>0</v>
      </c>
      <c r="H189" s="91">
        <f>+Carga!G95</f>
        <v>14307.5</v>
      </c>
      <c r="I189" s="91">
        <f>+Carga!H95</f>
        <v>3819530</v>
      </c>
    </row>
    <row r="190" spans="2:9">
      <c r="C190" s="92">
        <f>+C188-C189</f>
        <v>0</v>
      </c>
      <c r="D190" s="92">
        <f t="shared" ref="D190:I190" si="1">+D188-D189</f>
        <v>0</v>
      </c>
      <c r="E190" s="92">
        <f t="shared" si="1"/>
        <v>0</v>
      </c>
      <c r="F190" s="92">
        <f t="shared" si="1"/>
        <v>0</v>
      </c>
      <c r="G190" s="92">
        <f t="shared" si="1"/>
        <v>0</v>
      </c>
      <c r="H190" s="92">
        <f t="shared" si="1"/>
        <v>0</v>
      </c>
      <c r="I190" s="92">
        <f t="shared" si="1"/>
        <v>0</v>
      </c>
    </row>
    <row r="205" spans="1:1">
      <c r="A205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Physical - BBLS</vt:lpstr>
      <vt:lpstr>S-3</vt:lpstr>
      <vt:lpstr>P-3</vt:lpstr>
      <vt:lpstr>Validation</vt:lpstr>
      <vt:lpstr>Carga</vt:lpstr>
      <vt:lpstr>Reporte</vt:lpstr>
      <vt:lpstr>'Physical - BBLS'!Print_Area</vt:lpstr>
      <vt:lpstr>Validation!Print_Area</vt:lpstr>
      <vt:lpstr>'Physical - BBLS'!Print_Titles</vt:lpstr>
      <vt:lpstr>Validation!Print_Titles</vt:lpstr>
    </vt:vector>
  </TitlesOfParts>
  <Company>Registered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Lunsford</dc:creator>
  <cp:lastModifiedBy>jaguilar</cp:lastModifiedBy>
  <cp:lastPrinted>2011-09-06T18:33:28Z</cp:lastPrinted>
  <dcterms:created xsi:type="dcterms:W3CDTF">2006-03-07T16:18:55Z</dcterms:created>
  <dcterms:modified xsi:type="dcterms:W3CDTF">2011-09-08T22:35:04Z</dcterms:modified>
</cp:coreProperties>
</file>